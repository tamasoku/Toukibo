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C:\Users\hamat\OneDrive\デスクトップ\"/>
    </mc:Choice>
  </mc:AlternateContent>
  <xr:revisionPtr revIDLastSave="0" documentId="13_ncr:1_{311A8671-6D0B-4099-A4B1-23FC12D57FB0}" xr6:coauthVersionLast="47" xr6:coauthVersionMax="47" xr10:uidLastSave="{00000000-0000-0000-0000-000000000000}"/>
  <bookViews>
    <workbookView xWindow="-120" yWindow="-120" windowWidth="29040" windowHeight="15720" xr2:uid="{00000000-000D-0000-FFFF-FFFF00000000}"/>
  </bookViews>
  <sheets>
    <sheet name="入力シート" sheetId="2" r:id="rId1"/>
    <sheet name="経過記録表" sheetId="27" r:id="rId2"/>
    <sheet name="土地登記簿調書" sheetId="26" r:id="rId3"/>
    <sheet name="土地所有者一覧表" sheetId="31" r:id="rId4"/>
    <sheet name="所有者調書(大田)" sheetId="38" r:id="rId5"/>
    <sheet name="所有者調書(板橋)" sheetId="37" r:id="rId6"/>
    <sheet name="所有者調書(北)" sheetId="39" r:id="rId7"/>
    <sheet name="所有者調書(品川)" sheetId="40" r:id="rId8"/>
    <sheet name="所有者調書(新宿)" sheetId="41" r:id="rId9"/>
    <sheet name="所有者調書(杉並)" sheetId="42" r:id="rId10"/>
    <sheet name="所有者調書(世田谷)" sheetId="43" r:id="rId11"/>
    <sheet name="所有者調書(中野)" sheetId="44" r:id="rId12"/>
    <sheet name="所有者調書(文京)" sheetId="45" r:id="rId13"/>
    <sheet name="所有者調書(港)" sheetId="46" r:id="rId14"/>
    <sheet name="所有者調書(目黒)" sheetId="47" r:id="rId15"/>
    <sheet name="所有者調書(都・確定)" sheetId="48" r:id="rId16"/>
    <sheet name="所有者調書(都・区域)" sheetId="49" r:id="rId17"/>
    <sheet name="所有者調書(財務)1" sheetId="50" r:id="rId18"/>
    <sheet name="所有者調書(財務)2" sheetId="51" r:id="rId19"/>
    <sheet name="所有者調書(財務)3" sheetId="52" r:id="rId20"/>
    <sheet name="所有者調書(国道)" sheetId="53" r:id="rId21"/>
    <sheet name="境界確認書甲乙1" sheetId="3" r:id="rId22"/>
    <sheet name="境界確認書甲２乙１" sheetId="5" r:id="rId23"/>
    <sheet name="境界確認書甲3乙1" sheetId="13" r:id="rId24"/>
    <sheet name="境界確認書甲１乙２" sheetId="7" r:id="rId25"/>
    <sheet name="境界確認書甲乙２" sheetId="8" r:id="rId26"/>
    <sheet name="境界確認書甲3乙2" sheetId="6" r:id="rId27"/>
    <sheet name="境界確認書甲1乙3" sheetId="11" r:id="rId28"/>
    <sheet name="境界確認書甲2乙3" sheetId="12" r:id="rId29"/>
    <sheet name="境界確認書甲乙3" sheetId="14" r:id="rId30"/>
    <sheet name="境界確認願い" sheetId="16" r:id="rId31"/>
    <sheet name="境界確認願い (3)" sheetId="34" r:id="rId32"/>
    <sheet name="境界確認願い (2)" sheetId="28" r:id="rId33"/>
    <sheet name="官民名前欄" sheetId="17" r:id="rId34"/>
    <sheet name="成果品目録" sheetId="21" r:id="rId35"/>
    <sheet name="背表紙" sheetId="22" r:id="rId36"/>
  </sheets>
  <definedNames>
    <definedName name="_xlnm.Print_Area" localSheetId="30">境界確認願い!$A$1:$J$48</definedName>
    <definedName name="_xlnm.Print_Area" localSheetId="32">'境界確認願い (2)'!$A$1:$J$48</definedName>
    <definedName name="_xlnm.Print_Area" localSheetId="31">'境界確認願い (3)'!$A$1:$J$49</definedName>
    <definedName name="_xlnm.Print_Area" localSheetId="24">境界確認書甲１乙２!$A$1:$J$28</definedName>
    <definedName name="_xlnm.Print_Area" localSheetId="27">境界確認書甲1乙3!$A$1:$J$31</definedName>
    <definedName name="_xlnm.Print_Area" localSheetId="22">境界確認書甲２乙１!$A$1:$J$28</definedName>
    <definedName name="_xlnm.Print_Area" localSheetId="28">境界確認書甲2乙3!$A$1:$J$34</definedName>
    <definedName name="_xlnm.Print_Area" localSheetId="23">境界確認書甲3乙1!$A$1:$J$31</definedName>
    <definedName name="_xlnm.Print_Area" localSheetId="26">境界確認書甲3乙2!$A$1:$J$35</definedName>
    <definedName name="_xlnm.Print_Area" localSheetId="21">境界確認書甲乙1!$A$1:$T$23</definedName>
    <definedName name="_xlnm.Print_Area" localSheetId="25">境界確認書甲乙２!$A$1:$J$30</definedName>
    <definedName name="_xlnm.Print_Area" localSheetId="29">境界確認書甲乙3!$A$1:$J$39</definedName>
    <definedName name="_xlnm.Print_Area" localSheetId="1">経過記録表!$B$1:$L$15</definedName>
    <definedName name="_xlnm.Print_Area" localSheetId="13">'所有者調書(港)'!$B$1:$F$26</definedName>
    <definedName name="_xlnm.Print_Area" localSheetId="20">'所有者調書(国道)'!$B$1:$G$20</definedName>
    <definedName name="_xlnm.Print_Area" localSheetId="17">'所有者調書(財務)1'!$B$1:$H$41</definedName>
    <definedName name="_xlnm.Print_Area" localSheetId="18">'所有者調書(財務)2'!$B$1:$H$41</definedName>
    <definedName name="_xlnm.Print_Area" localSheetId="19">'所有者調書(財務)3'!$B$1:$H$41</definedName>
    <definedName name="_xlnm.Print_Area" localSheetId="8">'所有者調書(新宿)'!$B$1:$J$14</definedName>
    <definedName name="_xlnm.Print_Area" localSheetId="9">'所有者調書(杉並)'!$B$1:$H$25</definedName>
    <definedName name="_xlnm.Print_Area" localSheetId="10">'所有者調書(世田谷)'!$B$1:$H$26</definedName>
    <definedName name="_xlnm.Print_Area" localSheetId="4">'所有者調書(大田)'!$B$1:$H$26</definedName>
    <definedName name="_xlnm.Print_Area" localSheetId="11">'所有者調書(中野)'!$B$1:$G$26</definedName>
    <definedName name="_xlnm.Print_Area" localSheetId="15">'所有者調書(都・確定)'!$B$1:$H$27</definedName>
    <definedName name="_xlnm.Print_Area" localSheetId="16">'所有者調書(都・区域)'!$B$1:$H$27</definedName>
    <definedName name="_xlnm.Print_Area" localSheetId="5">'所有者調書(板橋)'!$B$1:$H$26</definedName>
    <definedName name="_xlnm.Print_Area" localSheetId="7">'所有者調書(品川)'!$B$1:$H$26</definedName>
    <definedName name="_xlnm.Print_Area" localSheetId="12">'所有者調書(文京)'!$B$1:$H$26</definedName>
    <definedName name="_xlnm.Print_Area" localSheetId="6">'所有者調書(北)'!$B$1:$H$26</definedName>
    <definedName name="_xlnm.Print_Area" localSheetId="14">'所有者調書(目黒)'!$B$1:$H$26</definedName>
    <definedName name="_xlnm.Print_Area" localSheetId="34">成果品目録!$A$1:$K$47</definedName>
    <definedName name="_xlnm.Print_Area" localSheetId="3">土地所有者一覧表!$B$1:$G$14</definedName>
    <definedName name="_xlnm.Print_Area" localSheetId="2">土地登記簿調書!$B$1:$G$14</definedName>
    <definedName name="_xlnm.Print_Area" localSheetId="0">入力シート!$B$1:$J$21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7" i="37" l="1"/>
  <c r="E17" i="37"/>
  <c r="D17" i="37"/>
  <c r="C17" i="37"/>
  <c r="B17" i="37"/>
  <c r="B13" i="53"/>
  <c r="B14" i="53"/>
  <c r="B15" i="53"/>
  <c r="B16" i="53"/>
  <c r="B17" i="53"/>
  <c r="B18" i="53"/>
  <c r="C13" i="53"/>
  <c r="D13" i="53"/>
  <c r="E13" i="53"/>
  <c r="F13" i="53"/>
  <c r="C14" i="53"/>
  <c r="D14" i="53"/>
  <c r="E14" i="53"/>
  <c r="F14" i="53"/>
  <c r="C15" i="53"/>
  <c r="D15" i="53"/>
  <c r="E15" i="53"/>
  <c r="F15" i="53"/>
  <c r="F19" i="53"/>
  <c r="E19" i="53"/>
  <c r="D19" i="53"/>
  <c r="C19" i="53"/>
  <c r="B19" i="53"/>
  <c r="A1" i="22"/>
  <c r="D1" i="22"/>
  <c r="D32" i="42"/>
  <c r="D30" i="42"/>
  <c r="D28" i="42"/>
  <c r="D26" i="42"/>
  <c r="D24" i="42"/>
  <c r="D22" i="42"/>
  <c r="D20" i="42"/>
  <c r="D18" i="42"/>
  <c r="D16" i="42"/>
  <c r="D14" i="42"/>
  <c r="D12" i="42"/>
  <c r="D10" i="42"/>
  <c r="D8" i="42"/>
  <c r="C32" i="42"/>
  <c r="B32" i="42"/>
  <c r="C30" i="42"/>
  <c r="B30" i="42"/>
  <c r="C28" i="42"/>
  <c r="B28" i="42"/>
  <c r="C26" i="42"/>
  <c r="B26" i="42"/>
  <c r="C24" i="42"/>
  <c r="B24" i="42"/>
  <c r="C22" i="42"/>
  <c r="B22" i="42"/>
  <c r="C20" i="42"/>
  <c r="B20" i="42"/>
  <c r="C18" i="42"/>
  <c r="B18" i="42"/>
  <c r="C16" i="42"/>
  <c r="B16" i="42"/>
  <c r="C14" i="42"/>
  <c r="B14" i="42"/>
  <c r="C12" i="42"/>
  <c r="B12" i="42"/>
  <c r="C10" i="42"/>
  <c r="B10" i="42"/>
  <c r="C8" i="42"/>
  <c r="B8" i="42"/>
  <c r="B32" i="45"/>
  <c r="B31" i="45"/>
  <c r="B30" i="45"/>
  <c r="B29" i="45"/>
  <c r="B28" i="45"/>
  <c r="B27" i="45"/>
  <c r="B26" i="45"/>
  <c r="B25" i="45"/>
  <c r="B24" i="45"/>
  <c r="B23" i="45"/>
  <c r="B22" i="45"/>
  <c r="B21" i="45"/>
  <c r="B20" i="45"/>
  <c r="B19" i="45"/>
  <c r="B18" i="45"/>
  <c r="B17" i="45"/>
  <c r="B16" i="45"/>
  <c r="B15" i="45"/>
  <c r="B14" i="45"/>
  <c r="B13" i="45"/>
  <c r="B12" i="45"/>
  <c r="B11" i="45"/>
  <c r="B10" i="45"/>
  <c r="B9" i="45"/>
  <c r="B8" i="45"/>
  <c r="B7" i="45"/>
  <c r="F26" i="48"/>
  <c r="E26" i="48"/>
  <c r="D26" i="48"/>
  <c r="C26" i="48"/>
  <c r="B26" i="48"/>
  <c r="F24" i="48"/>
  <c r="E24" i="48"/>
  <c r="D24" i="48"/>
  <c r="C24" i="48"/>
  <c r="B24" i="48"/>
  <c r="F22" i="48"/>
  <c r="E22" i="48"/>
  <c r="D22" i="48"/>
  <c r="C22" i="48"/>
  <c r="B22" i="48"/>
  <c r="F20" i="48"/>
  <c r="E20" i="48"/>
  <c r="D20" i="48"/>
  <c r="C20" i="48"/>
  <c r="B20" i="48"/>
  <c r="F18" i="48"/>
  <c r="E18" i="48"/>
  <c r="D18" i="48"/>
  <c r="C18" i="48"/>
  <c r="B18" i="48"/>
  <c r="F16" i="48"/>
  <c r="E16" i="48"/>
  <c r="D16" i="48"/>
  <c r="C16" i="48"/>
  <c r="B16" i="48"/>
  <c r="F14" i="48"/>
  <c r="E14" i="48"/>
  <c r="D14" i="48"/>
  <c r="C14" i="48"/>
  <c r="B14" i="48"/>
  <c r="F12" i="48"/>
  <c r="E12" i="48"/>
  <c r="D12" i="48"/>
  <c r="C12" i="48"/>
  <c r="B12" i="48"/>
  <c r="F10" i="48"/>
  <c r="E10" i="48"/>
  <c r="D10" i="48"/>
  <c r="C10" i="48"/>
  <c r="B10" i="48"/>
  <c r="F8" i="48"/>
  <c r="E8" i="48"/>
  <c r="D8" i="48"/>
  <c r="C8" i="48"/>
  <c r="B8" i="48"/>
  <c r="M38" i="21" a="1"/>
  <c r="M38" i="21" s="1"/>
  <c r="F20" i="53"/>
  <c r="E20" i="53"/>
  <c r="D20" i="53"/>
  <c r="C20" i="53"/>
  <c r="B20" i="53"/>
  <c r="F18" i="53"/>
  <c r="E18" i="53"/>
  <c r="D18" i="53"/>
  <c r="C18" i="53"/>
  <c r="F17" i="53"/>
  <c r="E17" i="53"/>
  <c r="D17" i="53"/>
  <c r="C17" i="53"/>
  <c r="F16" i="53"/>
  <c r="E16" i="53"/>
  <c r="D16" i="53"/>
  <c r="C16" i="53"/>
  <c r="F12" i="53"/>
  <c r="E12" i="53"/>
  <c r="D12" i="53"/>
  <c r="C12" i="53"/>
  <c r="B12" i="53"/>
  <c r="F11" i="53"/>
  <c r="E11" i="53"/>
  <c r="D11" i="53"/>
  <c r="C11" i="53"/>
  <c r="B11" i="53"/>
  <c r="F10" i="53"/>
  <c r="E10" i="53"/>
  <c r="D10" i="53"/>
  <c r="C10" i="53"/>
  <c r="B10" i="53"/>
  <c r="G26" i="52"/>
  <c r="F26" i="52"/>
  <c r="E26" i="52"/>
  <c r="D26" i="52"/>
  <c r="C26" i="52"/>
  <c r="B26" i="52"/>
  <c r="G24" i="52"/>
  <c r="F24" i="52"/>
  <c r="E24" i="52"/>
  <c r="D24" i="52"/>
  <c r="C24" i="52"/>
  <c r="B24" i="52"/>
  <c r="G22" i="52"/>
  <c r="F22" i="52"/>
  <c r="E22" i="52"/>
  <c r="D22" i="52"/>
  <c r="C22" i="52"/>
  <c r="B22" i="52"/>
  <c r="G20" i="52"/>
  <c r="F20" i="52"/>
  <c r="E20" i="52"/>
  <c r="D20" i="52"/>
  <c r="C20" i="52"/>
  <c r="B20" i="52"/>
  <c r="G18" i="52"/>
  <c r="F18" i="52"/>
  <c r="E18" i="52"/>
  <c r="D18" i="52"/>
  <c r="C18" i="52"/>
  <c r="B18" i="52"/>
  <c r="H26" i="52"/>
  <c r="H24" i="52"/>
  <c r="H22" i="52"/>
  <c r="H20" i="52"/>
  <c r="H18" i="52"/>
  <c r="H26" i="51"/>
  <c r="H24" i="51"/>
  <c r="H22" i="51"/>
  <c r="H20" i="51"/>
  <c r="H18" i="51"/>
  <c r="G26" i="51"/>
  <c r="F26" i="51"/>
  <c r="E26" i="51"/>
  <c r="D26" i="51"/>
  <c r="C26" i="51"/>
  <c r="B26" i="51"/>
  <c r="G24" i="51"/>
  <c r="F24" i="51"/>
  <c r="E24" i="51"/>
  <c r="D24" i="51"/>
  <c r="C24" i="51"/>
  <c r="B24" i="51"/>
  <c r="G22" i="51"/>
  <c r="F22" i="51"/>
  <c r="E22" i="51"/>
  <c r="D22" i="51"/>
  <c r="C22" i="51"/>
  <c r="B22" i="51"/>
  <c r="G20" i="51"/>
  <c r="F20" i="51"/>
  <c r="E20" i="51"/>
  <c r="D20" i="51"/>
  <c r="C20" i="51"/>
  <c r="B20" i="51"/>
  <c r="G18" i="51"/>
  <c r="F18" i="51"/>
  <c r="E18" i="51"/>
  <c r="D18" i="51"/>
  <c r="C18" i="51"/>
  <c r="B18" i="51"/>
  <c r="G26" i="50"/>
  <c r="F26" i="50"/>
  <c r="E26" i="50"/>
  <c r="D26" i="50"/>
  <c r="C26" i="50"/>
  <c r="B26" i="50"/>
  <c r="G24" i="50"/>
  <c r="F24" i="50"/>
  <c r="E24" i="50"/>
  <c r="D24" i="50"/>
  <c r="C24" i="50"/>
  <c r="B24" i="50"/>
  <c r="G22" i="50"/>
  <c r="F22" i="50"/>
  <c r="E22" i="50"/>
  <c r="D22" i="50"/>
  <c r="C22" i="50"/>
  <c r="B22" i="50"/>
  <c r="G20" i="50"/>
  <c r="F20" i="50"/>
  <c r="E20" i="50"/>
  <c r="D20" i="50"/>
  <c r="C20" i="50"/>
  <c r="B20" i="50"/>
  <c r="G18" i="50"/>
  <c r="F18" i="50"/>
  <c r="E18" i="50"/>
  <c r="D18" i="50"/>
  <c r="C18" i="50"/>
  <c r="B18" i="50"/>
  <c r="H26" i="50"/>
  <c r="H24" i="50"/>
  <c r="H22" i="50"/>
  <c r="H20" i="50"/>
  <c r="H18" i="50"/>
  <c r="H26" i="49"/>
  <c r="H24" i="49"/>
  <c r="H22" i="49"/>
  <c r="H20" i="49"/>
  <c r="H18" i="49"/>
  <c r="G26" i="49"/>
  <c r="G24" i="49"/>
  <c r="G22" i="49"/>
  <c r="G20" i="49"/>
  <c r="G18" i="49"/>
  <c r="F26" i="49"/>
  <c r="E26" i="49"/>
  <c r="D26" i="49"/>
  <c r="C26" i="49"/>
  <c r="B26" i="49"/>
  <c r="F24" i="49"/>
  <c r="E24" i="49"/>
  <c r="D24" i="49"/>
  <c r="C24" i="49"/>
  <c r="B24" i="49"/>
  <c r="F22" i="49"/>
  <c r="E22" i="49"/>
  <c r="D22" i="49"/>
  <c r="C22" i="49"/>
  <c r="B22" i="49"/>
  <c r="F20" i="49"/>
  <c r="E20" i="49"/>
  <c r="D20" i="49"/>
  <c r="C20" i="49"/>
  <c r="B20" i="49"/>
  <c r="F18" i="49"/>
  <c r="E18" i="49"/>
  <c r="D18" i="49"/>
  <c r="C18" i="49"/>
  <c r="B18" i="49"/>
  <c r="G26" i="48"/>
  <c r="G24" i="48"/>
  <c r="G22" i="48"/>
  <c r="G20" i="48"/>
  <c r="G18" i="48"/>
  <c r="H25" i="47"/>
  <c r="H23" i="47"/>
  <c r="H21" i="47"/>
  <c r="H19" i="47"/>
  <c r="H17" i="47"/>
  <c r="G25" i="47"/>
  <c r="F25" i="47"/>
  <c r="E25" i="47"/>
  <c r="D25" i="47"/>
  <c r="C25" i="47"/>
  <c r="B25" i="47"/>
  <c r="G23" i="47"/>
  <c r="F23" i="47"/>
  <c r="E23" i="47"/>
  <c r="D23" i="47"/>
  <c r="C23" i="47"/>
  <c r="B23" i="47"/>
  <c r="G21" i="47"/>
  <c r="F21" i="47"/>
  <c r="E21" i="47"/>
  <c r="D21" i="47"/>
  <c r="C21" i="47"/>
  <c r="B21" i="47"/>
  <c r="G19" i="47"/>
  <c r="F19" i="47"/>
  <c r="E19" i="47"/>
  <c r="D19" i="47"/>
  <c r="C19" i="47"/>
  <c r="B19" i="47"/>
  <c r="G17" i="47"/>
  <c r="F17" i="47"/>
  <c r="E17" i="47"/>
  <c r="D17" i="47"/>
  <c r="C17" i="47"/>
  <c r="B17" i="47"/>
  <c r="E25" i="46"/>
  <c r="E23" i="46"/>
  <c r="E21" i="46"/>
  <c r="E19" i="46"/>
  <c r="E17" i="46"/>
  <c r="F25" i="46"/>
  <c r="F23" i="46"/>
  <c r="F21" i="46"/>
  <c r="F19" i="46"/>
  <c r="F17" i="46"/>
  <c r="D25" i="46"/>
  <c r="C25" i="46"/>
  <c r="B25" i="46"/>
  <c r="D23" i="46"/>
  <c r="C23" i="46"/>
  <c r="B23" i="46"/>
  <c r="D21" i="46"/>
  <c r="C21" i="46"/>
  <c r="B21" i="46"/>
  <c r="D19" i="46"/>
  <c r="C19" i="46"/>
  <c r="B19" i="46"/>
  <c r="D17" i="46"/>
  <c r="C17" i="46"/>
  <c r="B17" i="46"/>
  <c r="G31" i="45"/>
  <c r="G29" i="45"/>
  <c r="G27" i="45"/>
  <c r="G25" i="45"/>
  <c r="G23" i="45"/>
  <c r="G21" i="45"/>
  <c r="G19" i="45"/>
  <c r="G17" i="45"/>
  <c r="F31" i="45"/>
  <c r="E31" i="45"/>
  <c r="D31" i="45"/>
  <c r="C31" i="45"/>
  <c r="F29" i="45"/>
  <c r="E29" i="45"/>
  <c r="D29" i="45"/>
  <c r="C29" i="45"/>
  <c r="F27" i="45"/>
  <c r="E27" i="45"/>
  <c r="D27" i="45"/>
  <c r="C27" i="45"/>
  <c r="F25" i="45"/>
  <c r="E25" i="45"/>
  <c r="D25" i="45"/>
  <c r="C25" i="45"/>
  <c r="F23" i="45"/>
  <c r="E23" i="45"/>
  <c r="D23" i="45"/>
  <c r="C23" i="45"/>
  <c r="F21" i="45"/>
  <c r="E21" i="45"/>
  <c r="D21" i="45"/>
  <c r="C21" i="45"/>
  <c r="F19" i="45"/>
  <c r="E19" i="45"/>
  <c r="D19" i="45"/>
  <c r="C19" i="45"/>
  <c r="F17" i="45"/>
  <c r="E17" i="45"/>
  <c r="D17" i="45"/>
  <c r="C17" i="45"/>
  <c r="G31" i="44"/>
  <c r="G29" i="44"/>
  <c r="G27" i="44"/>
  <c r="G25" i="44"/>
  <c r="G23" i="44"/>
  <c r="G21" i="44"/>
  <c r="G19" i="44"/>
  <c r="G17" i="44"/>
  <c r="F31" i="44"/>
  <c r="E31" i="44"/>
  <c r="D31" i="44"/>
  <c r="C31" i="44"/>
  <c r="B31" i="44"/>
  <c r="F29" i="44"/>
  <c r="E29" i="44"/>
  <c r="D29" i="44"/>
  <c r="C29" i="44"/>
  <c r="B29" i="44"/>
  <c r="F27" i="44"/>
  <c r="E27" i="44"/>
  <c r="D27" i="44"/>
  <c r="C27" i="44"/>
  <c r="B27" i="44"/>
  <c r="F25" i="44"/>
  <c r="E25" i="44"/>
  <c r="D25" i="44"/>
  <c r="C25" i="44"/>
  <c r="B25" i="44"/>
  <c r="F23" i="44"/>
  <c r="E23" i="44"/>
  <c r="D23" i="44"/>
  <c r="C23" i="44"/>
  <c r="B23" i="44"/>
  <c r="F21" i="44"/>
  <c r="E21" i="44"/>
  <c r="D21" i="44"/>
  <c r="C21" i="44"/>
  <c r="B21" i="44"/>
  <c r="F19" i="44"/>
  <c r="E19" i="44"/>
  <c r="D19" i="44"/>
  <c r="C19" i="44"/>
  <c r="B19" i="44"/>
  <c r="F17" i="44"/>
  <c r="E17" i="44"/>
  <c r="D17" i="44"/>
  <c r="C17" i="44"/>
  <c r="B17" i="44"/>
  <c r="G31" i="43"/>
  <c r="F31" i="43"/>
  <c r="E31" i="43"/>
  <c r="D31" i="43"/>
  <c r="C31" i="43"/>
  <c r="B31" i="43"/>
  <c r="G29" i="43"/>
  <c r="F29" i="43"/>
  <c r="E29" i="43"/>
  <c r="D29" i="43"/>
  <c r="C29" i="43"/>
  <c r="B29" i="43"/>
  <c r="G27" i="43"/>
  <c r="F27" i="43"/>
  <c r="E27" i="43"/>
  <c r="D27" i="43"/>
  <c r="C27" i="43"/>
  <c r="B27" i="43"/>
  <c r="G25" i="43"/>
  <c r="F25" i="43"/>
  <c r="E25" i="43"/>
  <c r="D25" i="43"/>
  <c r="C25" i="43"/>
  <c r="B25" i="43"/>
  <c r="G23" i="43"/>
  <c r="F23" i="43"/>
  <c r="E23" i="43"/>
  <c r="D23" i="43"/>
  <c r="C23" i="43"/>
  <c r="B23" i="43"/>
  <c r="G21" i="43"/>
  <c r="F21" i="43"/>
  <c r="E21" i="43"/>
  <c r="D21" i="43"/>
  <c r="C21" i="43"/>
  <c r="B21" i="43"/>
  <c r="G19" i="43"/>
  <c r="F19" i="43"/>
  <c r="E19" i="43"/>
  <c r="D19" i="43"/>
  <c r="C19" i="43"/>
  <c r="B19" i="43"/>
  <c r="G17" i="43"/>
  <c r="F17" i="43"/>
  <c r="E17" i="43"/>
  <c r="D17" i="43"/>
  <c r="C17" i="43"/>
  <c r="B17" i="43"/>
  <c r="H31" i="43"/>
  <c r="H29" i="43"/>
  <c r="H27" i="43"/>
  <c r="H25" i="43"/>
  <c r="H23" i="43"/>
  <c r="H21" i="43"/>
  <c r="H19" i="43"/>
  <c r="H17" i="43"/>
  <c r="H32" i="42"/>
  <c r="H30" i="42"/>
  <c r="H28" i="42"/>
  <c r="H26" i="42"/>
  <c r="H24" i="42"/>
  <c r="H22" i="42"/>
  <c r="H20" i="42"/>
  <c r="H18" i="42"/>
  <c r="G32" i="42"/>
  <c r="G30" i="42"/>
  <c r="G28" i="42"/>
  <c r="G26" i="42"/>
  <c r="G24" i="42"/>
  <c r="G22" i="42"/>
  <c r="G20" i="42"/>
  <c r="G18" i="42"/>
  <c r="F32" i="42"/>
  <c r="F30" i="42"/>
  <c r="F28" i="42"/>
  <c r="F26" i="42"/>
  <c r="F24" i="42"/>
  <c r="F22" i="42"/>
  <c r="F20" i="42"/>
  <c r="F18" i="42"/>
  <c r="E32" i="42"/>
  <c r="E30" i="42"/>
  <c r="E28" i="42"/>
  <c r="E26" i="42"/>
  <c r="E24" i="42"/>
  <c r="E22" i="42"/>
  <c r="E20" i="42"/>
  <c r="E18" i="42"/>
  <c r="E14" i="41"/>
  <c r="E13" i="41"/>
  <c r="E12" i="41"/>
  <c r="E11" i="41"/>
  <c r="E10" i="41"/>
  <c r="F14" i="41"/>
  <c r="F13" i="41"/>
  <c r="F12" i="41"/>
  <c r="F11" i="41"/>
  <c r="F10" i="41"/>
  <c r="E31" i="40"/>
  <c r="E29" i="40"/>
  <c r="E27" i="40"/>
  <c r="E25" i="40"/>
  <c r="E23" i="40"/>
  <c r="E21" i="40"/>
  <c r="E19" i="40"/>
  <c r="E17" i="40"/>
  <c r="E31" i="39"/>
  <c r="E29" i="39"/>
  <c r="E27" i="39"/>
  <c r="E25" i="39"/>
  <c r="E23" i="39"/>
  <c r="E21" i="39"/>
  <c r="E19" i="39"/>
  <c r="E17" i="39"/>
  <c r="E31" i="37"/>
  <c r="E29" i="37"/>
  <c r="E27" i="37"/>
  <c r="E25" i="37"/>
  <c r="E23" i="37"/>
  <c r="E21" i="37"/>
  <c r="E19" i="37"/>
  <c r="E31" i="38"/>
  <c r="E29" i="38"/>
  <c r="E27" i="38"/>
  <c r="E25" i="38"/>
  <c r="E23" i="38"/>
  <c r="E21" i="38"/>
  <c r="E19" i="38"/>
  <c r="E17" i="38"/>
  <c r="G14" i="41"/>
  <c r="G13" i="41"/>
  <c r="G12" i="41"/>
  <c r="G11" i="41"/>
  <c r="G10" i="41"/>
  <c r="D14" i="41"/>
  <c r="C14" i="41"/>
  <c r="B14" i="41"/>
  <c r="D13" i="41"/>
  <c r="C13" i="41"/>
  <c r="B13" i="41"/>
  <c r="D12" i="41"/>
  <c r="C12" i="41"/>
  <c r="B12" i="41"/>
  <c r="D11" i="41"/>
  <c r="C11" i="41"/>
  <c r="B11" i="41"/>
  <c r="D10" i="41"/>
  <c r="C10" i="41"/>
  <c r="B10" i="41"/>
  <c r="H31" i="40"/>
  <c r="H29" i="40"/>
  <c r="H27" i="40"/>
  <c r="H25" i="40"/>
  <c r="H23" i="40"/>
  <c r="H21" i="40"/>
  <c r="H19" i="40"/>
  <c r="H17" i="40"/>
  <c r="G31" i="40"/>
  <c r="F31" i="40"/>
  <c r="D31" i="40"/>
  <c r="C31" i="40"/>
  <c r="B31" i="40"/>
  <c r="G29" i="40"/>
  <c r="F29" i="40"/>
  <c r="D29" i="40"/>
  <c r="C29" i="40"/>
  <c r="B29" i="40"/>
  <c r="G27" i="40"/>
  <c r="F27" i="40"/>
  <c r="D27" i="40"/>
  <c r="C27" i="40"/>
  <c r="B27" i="40"/>
  <c r="G25" i="40"/>
  <c r="F25" i="40"/>
  <c r="D25" i="40"/>
  <c r="C25" i="40"/>
  <c r="B25" i="40"/>
  <c r="G23" i="40"/>
  <c r="F23" i="40"/>
  <c r="D23" i="40"/>
  <c r="C23" i="40"/>
  <c r="B23" i="40"/>
  <c r="G21" i="40"/>
  <c r="F21" i="40"/>
  <c r="D21" i="40"/>
  <c r="C21" i="40"/>
  <c r="B21" i="40"/>
  <c r="G19" i="40"/>
  <c r="F19" i="40"/>
  <c r="D19" i="40"/>
  <c r="C19" i="40"/>
  <c r="B19" i="40"/>
  <c r="G17" i="40"/>
  <c r="F17" i="40"/>
  <c r="D17" i="40"/>
  <c r="C17" i="40"/>
  <c r="B17" i="40"/>
  <c r="H31" i="39"/>
  <c r="H29" i="39"/>
  <c r="H27" i="39"/>
  <c r="H25" i="39"/>
  <c r="H23" i="39"/>
  <c r="H21" i="39"/>
  <c r="H19" i="39"/>
  <c r="H17" i="39"/>
  <c r="G31" i="39"/>
  <c r="F31" i="39"/>
  <c r="D31" i="39"/>
  <c r="C31" i="39"/>
  <c r="B31" i="39"/>
  <c r="G29" i="39"/>
  <c r="F29" i="39"/>
  <c r="D29" i="39"/>
  <c r="C29" i="39"/>
  <c r="B29" i="39"/>
  <c r="G27" i="39"/>
  <c r="F27" i="39"/>
  <c r="D27" i="39"/>
  <c r="C27" i="39"/>
  <c r="B27" i="39"/>
  <c r="G25" i="39"/>
  <c r="F25" i="39"/>
  <c r="D25" i="39"/>
  <c r="C25" i="39"/>
  <c r="B25" i="39"/>
  <c r="G23" i="39"/>
  <c r="F23" i="39"/>
  <c r="D23" i="39"/>
  <c r="C23" i="39"/>
  <c r="B23" i="39"/>
  <c r="G21" i="39"/>
  <c r="F21" i="39"/>
  <c r="D21" i="39"/>
  <c r="C21" i="39"/>
  <c r="B21" i="39"/>
  <c r="G19" i="39"/>
  <c r="F19" i="39"/>
  <c r="D19" i="39"/>
  <c r="C19" i="39"/>
  <c r="B19" i="39"/>
  <c r="G17" i="39"/>
  <c r="F17" i="39"/>
  <c r="D17" i="39"/>
  <c r="C17" i="39"/>
  <c r="B17" i="39"/>
  <c r="H31" i="37"/>
  <c r="H29" i="37"/>
  <c r="H27" i="37"/>
  <c r="H25" i="37"/>
  <c r="H23" i="37"/>
  <c r="H21" i="37"/>
  <c r="H19" i="37"/>
  <c r="H17" i="37"/>
  <c r="G31" i="37"/>
  <c r="F31" i="37"/>
  <c r="D31" i="37"/>
  <c r="C31" i="37"/>
  <c r="B31" i="37"/>
  <c r="G29" i="37"/>
  <c r="F29" i="37"/>
  <c r="D29" i="37"/>
  <c r="C29" i="37"/>
  <c r="B29" i="37"/>
  <c r="G27" i="37"/>
  <c r="F27" i="37"/>
  <c r="D27" i="37"/>
  <c r="C27" i="37"/>
  <c r="B27" i="37"/>
  <c r="G25" i="37"/>
  <c r="F25" i="37"/>
  <c r="D25" i="37"/>
  <c r="C25" i="37"/>
  <c r="B25" i="37"/>
  <c r="G23" i="37"/>
  <c r="F23" i="37"/>
  <c r="D23" i="37"/>
  <c r="C23" i="37"/>
  <c r="B23" i="37"/>
  <c r="G21" i="37"/>
  <c r="F21" i="37"/>
  <c r="D21" i="37"/>
  <c r="C21" i="37"/>
  <c r="B21" i="37"/>
  <c r="G19" i="37"/>
  <c r="F19" i="37"/>
  <c r="D19" i="37"/>
  <c r="C19" i="37"/>
  <c r="B19" i="37"/>
  <c r="G17" i="37"/>
  <c r="H31" i="38"/>
  <c r="H29" i="38"/>
  <c r="H27" i="38"/>
  <c r="H25" i="38"/>
  <c r="H23" i="38"/>
  <c r="H21" i="38"/>
  <c r="H19" i="38"/>
  <c r="H17" i="38"/>
  <c r="G31" i="38"/>
  <c r="F31" i="38"/>
  <c r="D31" i="38"/>
  <c r="C31" i="38"/>
  <c r="B31" i="38"/>
  <c r="G29" i="38"/>
  <c r="F29" i="38"/>
  <c r="D29" i="38"/>
  <c r="C29" i="38"/>
  <c r="B29" i="38"/>
  <c r="G27" i="38"/>
  <c r="F27" i="38"/>
  <c r="D27" i="38"/>
  <c r="C27" i="38"/>
  <c r="B27" i="38"/>
  <c r="G25" i="38"/>
  <c r="F25" i="38"/>
  <c r="D25" i="38"/>
  <c r="C25" i="38"/>
  <c r="B25" i="38"/>
  <c r="G23" i="38"/>
  <c r="F23" i="38"/>
  <c r="D23" i="38"/>
  <c r="C23" i="38"/>
  <c r="B23" i="38"/>
  <c r="G21" i="38"/>
  <c r="F21" i="38"/>
  <c r="D21" i="38"/>
  <c r="C21" i="38"/>
  <c r="B21" i="38"/>
  <c r="G19" i="38"/>
  <c r="F19" i="38"/>
  <c r="D19" i="38"/>
  <c r="C19" i="38"/>
  <c r="B19" i="38"/>
  <c r="G17" i="38"/>
  <c r="F17" i="38"/>
  <c r="D17" i="38"/>
  <c r="C17" i="38"/>
  <c r="B17" i="38"/>
  <c r="F2" i="53"/>
  <c r="G2" i="49"/>
  <c r="G2" i="48"/>
  <c r="C2" i="43"/>
  <c r="F2" i="42"/>
  <c r="C2" i="37"/>
  <c r="J12" i="2" l="1"/>
  <c r="I12" i="2"/>
  <c r="H12" i="2"/>
  <c r="G12" i="2"/>
  <c r="F12" i="2"/>
  <c r="J11" i="2"/>
  <c r="I11" i="2"/>
  <c r="H11" i="2"/>
  <c r="G11" i="2"/>
  <c r="F11" i="2"/>
  <c r="J10" i="2"/>
  <c r="I10" i="2"/>
  <c r="H10" i="2"/>
  <c r="G10" i="2"/>
  <c r="F10" i="2"/>
  <c r="J9" i="2"/>
  <c r="I9" i="2"/>
  <c r="H9" i="2"/>
  <c r="G9" i="2"/>
  <c r="F9" i="2"/>
  <c r="J8" i="2"/>
  <c r="I8" i="2"/>
  <c r="H8" i="2"/>
  <c r="G8" i="2"/>
  <c r="F8" i="2"/>
  <c r="B12" i="31"/>
  <c r="D12" i="2"/>
  <c r="C12" i="2"/>
  <c r="D11" i="2"/>
  <c r="C11" i="2"/>
  <c r="D10" i="2"/>
  <c r="C10" i="2"/>
  <c r="D9" i="2"/>
  <c r="C9" i="2"/>
  <c r="D8" i="2"/>
  <c r="C8" i="2"/>
  <c r="J7" i="2"/>
  <c r="I7" i="2"/>
  <c r="H7" i="2"/>
  <c r="G7" i="2"/>
  <c r="F7" i="2"/>
  <c r="D7" i="2"/>
  <c r="C7" i="2"/>
  <c r="B12" i="16"/>
  <c r="B6" i="26"/>
  <c r="B11" i="26"/>
  <c r="B14" i="31"/>
  <c r="D28" i="34"/>
  <c r="G1" i="34"/>
  <c r="L1" i="34"/>
  <c r="G39" i="34"/>
  <c r="G34" i="34"/>
  <c r="G35" i="34"/>
  <c r="G36" i="34"/>
  <c r="C12" i="50" l="1"/>
  <c r="C11" i="44"/>
  <c r="C11" i="43"/>
  <c r="C12" i="49"/>
  <c r="C11" i="40"/>
  <c r="C11" i="37"/>
  <c r="B7" i="53"/>
  <c r="C11" i="46"/>
  <c r="C11" i="47"/>
  <c r="C11" i="38"/>
  <c r="C12" i="52"/>
  <c r="C12" i="51"/>
  <c r="C7" i="41"/>
  <c r="C11" i="39"/>
  <c r="G16" i="50"/>
  <c r="E15" i="46"/>
  <c r="G15" i="43"/>
  <c r="G16" i="42"/>
  <c r="F9" i="41"/>
  <c r="G15" i="39"/>
  <c r="F15" i="44"/>
  <c r="G16" i="51"/>
  <c r="G15" i="40"/>
  <c r="F9" i="53"/>
  <c r="F16" i="49"/>
  <c r="G15" i="47"/>
  <c r="G15" i="37"/>
  <c r="G16" i="52"/>
  <c r="F15" i="45"/>
  <c r="G15" i="38"/>
  <c r="E6" i="49"/>
  <c r="E6" i="48"/>
  <c r="E5" i="47"/>
  <c r="E6" i="52"/>
  <c r="E6" i="42"/>
  <c r="E5" i="37"/>
  <c r="E6" i="50"/>
  <c r="E5" i="39"/>
  <c r="D5" i="45"/>
  <c r="E4" i="41"/>
  <c r="E5" i="44"/>
  <c r="E5" i="40"/>
  <c r="E6" i="51"/>
  <c r="E5" i="43"/>
  <c r="E5" i="38"/>
  <c r="C10" i="49"/>
  <c r="C6" i="41"/>
  <c r="C9" i="40"/>
  <c r="C9" i="37"/>
  <c r="B6" i="53"/>
  <c r="C9" i="47"/>
  <c r="C9" i="38"/>
  <c r="C10" i="51"/>
  <c r="C9" i="39"/>
  <c r="C9" i="46"/>
  <c r="C9" i="44"/>
  <c r="C9" i="43"/>
  <c r="C10" i="52"/>
  <c r="C10" i="50"/>
  <c r="C5" i="53"/>
  <c r="D7" i="47"/>
  <c r="C7" i="45"/>
  <c r="D7" i="39"/>
  <c r="D8" i="51"/>
  <c r="D7" i="46"/>
  <c r="D7" i="44"/>
  <c r="D8" i="52"/>
  <c r="D5" i="41"/>
  <c r="D8" i="50"/>
  <c r="D8" i="49"/>
  <c r="D7" i="43"/>
  <c r="D7" i="40"/>
  <c r="D7" i="37"/>
  <c r="D7" i="38"/>
  <c r="G9" i="44"/>
  <c r="G10" i="49"/>
  <c r="H9" i="43"/>
  <c r="G9" i="45"/>
  <c r="H9" i="40"/>
  <c r="H9" i="37"/>
  <c r="G10" i="48"/>
  <c r="H9" i="47"/>
  <c r="F9" i="46"/>
  <c r="G6" i="41"/>
  <c r="E6" i="53"/>
  <c r="H9" i="38"/>
  <c r="H10" i="52"/>
  <c r="H10" i="51"/>
  <c r="H10" i="50"/>
  <c r="H10" i="42"/>
  <c r="H9" i="39"/>
  <c r="F12" i="42"/>
  <c r="F11" i="47"/>
  <c r="F12" i="51"/>
  <c r="F12" i="52"/>
  <c r="F11" i="38"/>
  <c r="E11" i="45"/>
  <c r="F11" i="37"/>
  <c r="F11" i="40"/>
  <c r="H12" i="49"/>
  <c r="F11" i="43"/>
  <c r="F12" i="50"/>
  <c r="F11" i="39"/>
  <c r="D16" i="49"/>
  <c r="D15" i="47"/>
  <c r="C15" i="45"/>
  <c r="D15" i="40"/>
  <c r="D15" i="37"/>
  <c r="D16" i="51"/>
  <c r="C9" i="53"/>
  <c r="D16" i="52"/>
  <c r="D16" i="50"/>
  <c r="D15" i="38"/>
  <c r="D15" i="43"/>
  <c r="D15" i="39"/>
  <c r="D15" i="46"/>
  <c r="D15" i="44"/>
  <c r="D9" i="41"/>
  <c r="H6" i="50"/>
  <c r="H6" i="42"/>
  <c r="G5" i="45"/>
  <c r="G5" i="44"/>
  <c r="H5" i="38"/>
  <c r="G6" i="49"/>
  <c r="F5" i="46"/>
  <c r="H5" i="43"/>
  <c r="H5" i="39"/>
  <c r="H5" i="47"/>
  <c r="H5" i="37"/>
  <c r="G6" i="48"/>
  <c r="H6" i="52"/>
  <c r="H6" i="51"/>
  <c r="G4" i="41"/>
  <c r="H5" i="40"/>
  <c r="E8" i="51"/>
  <c r="E7" i="44"/>
  <c r="E8" i="42"/>
  <c r="E7" i="37"/>
  <c r="E8" i="52"/>
  <c r="E8" i="50"/>
  <c r="E7" i="39"/>
  <c r="E8" i="49"/>
  <c r="E7" i="43"/>
  <c r="E5" i="41"/>
  <c r="E7" i="40"/>
  <c r="D7" i="45"/>
  <c r="E7" i="38"/>
  <c r="D5" i="53"/>
  <c r="E7" i="47"/>
  <c r="E16" i="51"/>
  <c r="E15" i="40"/>
  <c r="D9" i="53"/>
  <c r="E16" i="52"/>
  <c r="E16" i="50"/>
  <c r="E15" i="38"/>
  <c r="E15" i="43"/>
  <c r="E15" i="44"/>
  <c r="E16" i="42"/>
  <c r="E15" i="37"/>
  <c r="E16" i="49"/>
  <c r="E15" i="39"/>
  <c r="E9" i="41"/>
  <c r="E15" i="47"/>
  <c r="D15" i="45"/>
  <c r="G6" i="50"/>
  <c r="F5" i="45"/>
  <c r="G5" i="47"/>
  <c r="G5" i="39"/>
  <c r="G5" i="38"/>
  <c r="G6" i="52"/>
  <c r="G6" i="51"/>
  <c r="F5" i="44"/>
  <c r="F6" i="48"/>
  <c r="F4" i="41"/>
  <c r="G6" i="42"/>
  <c r="G5" i="43"/>
  <c r="G5" i="40"/>
  <c r="F6" i="49"/>
  <c r="G5" i="37"/>
  <c r="E5" i="46"/>
  <c r="F9" i="47"/>
  <c r="F10" i="51"/>
  <c r="F10" i="52"/>
  <c r="E9" i="45"/>
  <c r="F10" i="42"/>
  <c r="F9" i="39"/>
  <c r="F10" i="50"/>
  <c r="F9" i="43"/>
  <c r="F9" i="37"/>
  <c r="F9" i="38"/>
  <c r="H10" i="49"/>
  <c r="F9" i="40"/>
  <c r="E9" i="53"/>
  <c r="G15" i="45"/>
  <c r="H15" i="40"/>
  <c r="H15" i="37"/>
  <c r="G9" i="41"/>
  <c r="G16" i="48"/>
  <c r="H15" i="47"/>
  <c r="F15" i="46"/>
  <c r="H16" i="52"/>
  <c r="H16" i="51"/>
  <c r="H16" i="50"/>
  <c r="H16" i="42"/>
  <c r="H15" i="39"/>
  <c r="H15" i="38"/>
  <c r="G16" i="49"/>
  <c r="G15" i="44"/>
  <c r="H15" i="43"/>
  <c r="F6" i="52"/>
  <c r="F6" i="42"/>
  <c r="F5" i="40"/>
  <c r="F5" i="37"/>
  <c r="F6" i="50"/>
  <c r="H6" i="49"/>
  <c r="E5" i="45"/>
  <c r="F5" i="39"/>
  <c r="F5" i="38"/>
  <c r="F6" i="51"/>
  <c r="F5" i="43"/>
  <c r="F5" i="47"/>
  <c r="G8" i="50"/>
  <c r="G7" i="43"/>
  <c r="F8" i="49"/>
  <c r="G7" i="40"/>
  <c r="G7" i="37"/>
  <c r="F5" i="53"/>
  <c r="G7" i="39"/>
  <c r="E7" i="46"/>
  <c r="F7" i="44"/>
  <c r="F5" i="41"/>
  <c r="G8" i="42"/>
  <c r="F7" i="45"/>
  <c r="G7" i="47"/>
  <c r="G8" i="52"/>
  <c r="G8" i="51"/>
  <c r="G7" i="38"/>
  <c r="B8" i="53"/>
  <c r="C14" i="51"/>
  <c r="C14" i="52"/>
  <c r="C13" i="46"/>
  <c r="C14" i="50"/>
  <c r="C8" i="41"/>
  <c r="C13" i="39"/>
  <c r="C13" i="44"/>
  <c r="C13" i="43"/>
  <c r="C13" i="38"/>
  <c r="C13" i="37"/>
  <c r="C13" i="40"/>
  <c r="C13" i="47"/>
  <c r="C14" i="49"/>
  <c r="F8" i="52"/>
  <c r="H8" i="49"/>
  <c r="F8" i="50"/>
  <c r="F7" i="43"/>
  <c r="F8" i="42"/>
  <c r="F7" i="40"/>
  <c r="F7" i="37"/>
  <c r="E7" i="45"/>
  <c r="F7" i="39"/>
  <c r="F7" i="38"/>
  <c r="F7" i="47"/>
  <c r="F8" i="51"/>
  <c r="C11" i="45"/>
  <c r="D11" i="43"/>
  <c r="D12" i="49"/>
  <c r="D11" i="40"/>
  <c r="D11" i="37"/>
  <c r="D11" i="46"/>
  <c r="C7" i="53"/>
  <c r="D11" i="47"/>
  <c r="D7" i="41"/>
  <c r="D12" i="52"/>
  <c r="D12" i="51"/>
  <c r="D11" i="44"/>
  <c r="D11" i="39"/>
  <c r="D11" i="38"/>
  <c r="D12" i="50"/>
  <c r="G14" i="49"/>
  <c r="H13" i="43"/>
  <c r="G13" i="45"/>
  <c r="G14" i="48"/>
  <c r="H13" i="47"/>
  <c r="F13" i="46"/>
  <c r="G8" i="41"/>
  <c r="H14" i="52"/>
  <c r="H14" i="51"/>
  <c r="E8" i="53"/>
  <c r="H14" i="50"/>
  <c r="H14" i="42"/>
  <c r="H13" i="37"/>
  <c r="G13" i="44"/>
  <c r="H13" i="38"/>
  <c r="H13" i="40"/>
  <c r="H13" i="39"/>
  <c r="F16" i="52"/>
  <c r="F16" i="50"/>
  <c r="F15" i="43"/>
  <c r="F15" i="38"/>
  <c r="F15" i="39"/>
  <c r="H16" i="49"/>
  <c r="F15" i="47"/>
  <c r="F16" i="42"/>
  <c r="F15" i="37"/>
  <c r="F16" i="51"/>
  <c r="F15" i="40"/>
  <c r="E15" i="45"/>
  <c r="C6" i="51"/>
  <c r="C5" i="43"/>
  <c r="C6" i="49"/>
  <c r="C6" i="48"/>
  <c r="C5" i="47"/>
  <c r="C6" i="42"/>
  <c r="C5" i="40"/>
  <c r="C5" i="37"/>
  <c r="C6" i="52"/>
  <c r="B6" i="45"/>
  <c r="C6" i="50"/>
  <c r="C5" i="38"/>
  <c r="C5" i="44"/>
  <c r="C5" i="46"/>
  <c r="C4" i="41"/>
  <c r="C5" i="39"/>
  <c r="C7" i="38"/>
  <c r="C7" i="47"/>
  <c r="C8" i="51"/>
  <c r="C7" i="46"/>
  <c r="C7" i="44"/>
  <c r="C8" i="52"/>
  <c r="C5" i="41"/>
  <c r="B5" i="53"/>
  <c r="C8" i="50"/>
  <c r="C7" i="43"/>
  <c r="C7" i="40"/>
  <c r="C7" i="39"/>
  <c r="C8" i="49"/>
  <c r="C7" i="37"/>
  <c r="C16" i="49"/>
  <c r="C15" i="47"/>
  <c r="C16" i="51"/>
  <c r="B9" i="53"/>
  <c r="C16" i="52"/>
  <c r="C16" i="50"/>
  <c r="C15" i="38"/>
  <c r="C15" i="40"/>
  <c r="C15" i="37"/>
  <c r="C15" i="39"/>
  <c r="C15" i="46"/>
  <c r="C15" i="44"/>
  <c r="C15" i="43"/>
  <c r="C9" i="41"/>
  <c r="C6" i="53"/>
  <c r="D9" i="47"/>
  <c r="D9" i="38"/>
  <c r="D10" i="51"/>
  <c r="D9" i="39"/>
  <c r="D10" i="52"/>
  <c r="C9" i="45"/>
  <c r="D9" i="44"/>
  <c r="D6" i="41"/>
  <c r="D9" i="37"/>
  <c r="D10" i="49"/>
  <c r="D9" i="40"/>
  <c r="D9" i="43"/>
  <c r="D9" i="46"/>
  <c r="D10" i="50"/>
  <c r="H11" i="43"/>
  <c r="G12" i="49"/>
  <c r="E7" i="53"/>
  <c r="G11" i="45"/>
  <c r="H11" i="40"/>
  <c r="H11" i="37"/>
  <c r="G12" i="48"/>
  <c r="H11" i="47"/>
  <c r="F11" i="46"/>
  <c r="G7" i="41"/>
  <c r="H12" i="52"/>
  <c r="H12" i="51"/>
  <c r="H11" i="38"/>
  <c r="H12" i="42"/>
  <c r="H11" i="39"/>
  <c r="G11" i="44"/>
  <c r="H12" i="50"/>
  <c r="F13" i="43"/>
  <c r="F14" i="42"/>
  <c r="F13" i="39"/>
  <c r="E13" i="45"/>
  <c r="F13" i="47"/>
  <c r="F13" i="40"/>
  <c r="F13" i="37"/>
  <c r="H14" i="49"/>
  <c r="F14" i="50"/>
  <c r="F13" i="38"/>
  <c r="F14" i="52"/>
  <c r="F14" i="51"/>
  <c r="D5" i="43"/>
  <c r="D6" i="49"/>
  <c r="D6" i="48"/>
  <c r="D5" i="47"/>
  <c r="D6" i="42"/>
  <c r="D6" i="52"/>
  <c r="D6" i="50"/>
  <c r="D6" i="51"/>
  <c r="D5" i="37"/>
  <c r="D5" i="46"/>
  <c r="D4" i="41"/>
  <c r="D5" i="38"/>
  <c r="D5" i="39"/>
  <c r="D5" i="40"/>
  <c r="C5" i="45"/>
  <c r="D5" i="44"/>
  <c r="B9" i="46"/>
  <c r="B9" i="43"/>
  <c r="B6" i="41"/>
  <c r="B10" i="49"/>
  <c r="B9" i="47"/>
  <c r="B9" i="38"/>
  <c r="B9" i="40"/>
  <c r="B10" i="51"/>
  <c r="B10" i="50"/>
  <c r="B9" i="39"/>
  <c r="B9" i="44"/>
  <c r="B10" i="52"/>
  <c r="B9" i="37"/>
  <c r="D6" i="53"/>
  <c r="E9" i="47"/>
  <c r="E9" i="39"/>
  <c r="E10" i="51"/>
  <c r="E6" i="41"/>
  <c r="E10" i="52"/>
  <c r="D9" i="45"/>
  <c r="E9" i="44"/>
  <c r="E9" i="40"/>
  <c r="E10" i="50"/>
  <c r="E10" i="49"/>
  <c r="E9" i="37"/>
  <c r="E9" i="38"/>
  <c r="E10" i="42"/>
  <c r="E9" i="43"/>
  <c r="F12" i="49"/>
  <c r="G11" i="40"/>
  <c r="G11" i="37"/>
  <c r="F7" i="53"/>
  <c r="G11" i="47"/>
  <c r="G12" i="51"/>
  <c r="G12" i="52"/>
  <c r="E11" i="46"/>
  <c r="G12" i="42"/>
  <c r="G11" i="38"/>
  <c r="G12" i="50"/>
  <c r="F7" i="41"/>
  <c r="G11" i="39"/>
  <c r="G11" i="43"/>
  <c r="F11" i="45"/>
  <c r="F11" i="44"/>
  <c r="B12" i="52"/>
  <c r="B11" i="39"/>
  <c r="B12" i="50"/>
  <c r="B11" i="44"/>
  <c r="B11" i="43"/>
  <c r="B12" i="49"/>
  <c r="B11" i="40"/>
  <c r="B11" i="37"/>
  <c r="B11" i="47"/>
  <c r="B7" i="41"/>
  <c r="B12" i="51"/>
  <c r="B11" i="38"/>
  <c r="B11" i="46"/>
  <c r="G10" i="51"/>
  <c r="G9" i="38"/>
  <c r="G10" i="52"/>
  <c r="F9" i="45"/>
  <c r="G10" i="50"/>
  <c r="F9" i="44"/>
  <c r="G9" i="43"/>
  <c r="E9" i="46"/>
  <c r="G10" i="42"/>
  <c r="G9" i="39"/>
  <c r="G9" i="37"/>
  <c r="G9" i="40"/>
  <c r="F10" i="49"/>
  <c r="F6" i="53"/>
  <c r="G9" i="47"/>
  <c r="F6" i="41"/>
  <c r="H7" i="39"/>
  <c r="H7" i="38"/>
  <c r="G7" i="44"/>
  <c r="G8" i="49"/>
  <c r="H7" i="43"/>
  <c r="G7" i="45"/>
  <c r="H7" i="40"/>
  <c r="H7" i="37"/>
  <c r="H8" i="50"/>
  <c r="H8" i="42"/>
  <c r="H8" i="52"/>
  <c r="G5" i="41"/>
  <c r="G8" i="48"/>
  <c r="H7" i="47"/>
  <c r="H8" i="51"/>
  <c r="F7" i="46"/>
  <c r="E5" i="53"/>
  <c r="D14" i="52"/>
  <c r="D13" i="46"/>
  <c r="D13" i="38"/>
  <c r="D14" i="50"/>
  <c r="D8" i="41"/>
  <c r="D13" i="44"/>
  <c r="D13" i="43"/>
  <c r="C13" i="45"/>
  <c r="C8" i="53"/>
  <c r="D13" i="40"/>
  <c r="D14" i="51"/>
  <c r="D13" i="39"/>
  <c r="D14" i="49"/>
  <c r="D13" i="47"/>
  <c r="D13" i="37"/>
  <c r="B13" i="47"/>
  <c r="B14" i="51"/>
  <c r="B14" i="52"/>
  <c r="B13" i="46"/>
  <c r="B13" i="38"/>
  <c r="B14" i="50"/>
  <c r="B8" i="41"/>
  <c r="B13" i="39"/>
  <c r="B13" i="44"/>
  <c r="B13" i="43"/>
  <c r="B13" i="40"/>
  <c r="B13" i="37"/>
  <c r="B14" i="49"/>
  <c r="E14" i="50"/>
  <c r="E8" i="41"/>
  <c r="E13" i="40"/>
  <c r="E13" i="44"/>
  <c r="E13" i="43"/>
  <c r="D13" i="45"/>
  <c r="E13" i="38"/>
  <c r="E14" i="49"/>
  <c r="D8" i="53"/>
  <c r="E13" i="37"/>
  <c r="E14" i="42"/>
  <c r="E14" i="52"/>
  <c r="E13" i="39"/>
  <c r="E14" i="51"/>
  <c r="E13" i="47"/>
  <c r="B5" i="44"/>
  <c r="B6" i="51"/>
  <c r="B5" i="43"/>
  <c r="B6" i="49"/>
  <c r="B6" i="48"/>
  <c r="B5" i="47"/>
  <c r="B6" i="42"/>
  <c r="B5" i="40"/>
  <c r="B5" i="37"/>
  <c r="B6" i="52"/>
  <c r="B5" i="45"/>
  <c r="B5" i="38"/>
  <c r="B5" i="46"/>
  <c r="B4" i="41"/>
  <c r="B5" i="39"/>
  <c r="B6" i="50"/>
  <c r="B7" i="47"/>
  <c r="B7" i="39"/>
  <c r="B8" i="51"/>
  <c r="B7" i="46"/>
  <c r="B7" i="44"/>
  <c r="B8" i="52"/>
  <c r="B5" i="41"/>
  <c r="B8" i="50"/>
  <c r="B7" i="38"/>
  <c r="B7" i="37"/>
  <c r="B7" i="43"/>
  <c r="B7" i="40"/>
  <c r="B8" i="49"/>
  <c r="B9" i="41"/>
  <c r="B16" i="49"/>
  <c r="B15" i="47"/>
  <c r="B15" i="40"/>
  <c r="B15" i="37"/>
  <c r="B16" i="51"/>
  <c r="B16" i="52"/>
  <c r="B15" i="43"/>
  <c r="B15" i="39"/>
  <c r="B15" i="38"/>
  <c r="B16" i="50"/>
  <c r="B15" i="46"/>
  <c r="B15" i="44"/>
  <c r="E11" i="39"/>
  <c r="E12" i="49"/>
  <c r="E7" i="41"/>
  <c r="E11" i="40"/>
  <c r="D7" i="53"/>
  <c r="E11" i="47"/>
  <c r="E12" i="51"/>
  <c r="E11" i="38"/>
  <c r="E11" i="43"/>
  <c r="D11" i="45"/>
  <c r="E11" i="37"/>
  <c r="E12" i="50"/>
  <c r="E12" i="52"/>
  <c r="E11" i="44"/>
  <c r="E12" i="42"/>
  <c r="F13" i="44"/>
  <c r="F13" i="45"/>
  <c r="E13" i="46"/>
  <c r="G14" i="42"/>
  <c r="F14" i="49"/>
  <c r="G13" i="47"/>
  <c r="F8" i="41"/>
  <c r="G13" i="40"/>
  <c r="G13" i="37"/>
  <c r="G14" i="52"/>
  <c r="F8" i="53"/>
  <c r="G14" i="51"/>
  <c r="G14" i="50"/>
  <c r="G13" i="39"/>
  <c r="G13" i="43"/>
  <c r="G13" i="38"/>
  <c r="F8" i="31"/>
  <c r="F10" i="26"/>
  <c r="F13" i="31"/>
  <c r="E13" i="31"/>
  <c r="D8" i="26"/>
  <c r="E8" i="26"/>
  <c r="F14" i="26"/>
  <c r="D14" i="31"/>
  <c r="F12" i="31"/>
  <c r="E6" i="31"/>
  <c r="U4" i="12"/>
  <c r="D6" i="31"/>
  <c r="C12" i="31"/>
  <c r="U7" i="13"/>
  <c r="C13" i="26"/>
  <c r="C11" i="31"/>
  <c r="D11" i="31"/>
  <c r="E14" i="31"/>
  <c r="U8" i="12"/>
  <c r="F14" i="31"/>
  <c r="U15" i="6"/>
  <c r="U10" i="6"/>
  <c r="D13" i="31"/>
  <c r="E12" i="2"/>
  <c r="C7" i="26" s="1"/>
  <c r="U13" i="8"/>
  <c r="U6" i="14"/>
  <c r="U10" i="5"/>
  <c r="U8" i="8"/>
  <c r="U11" i="3"/>
  <c r="U5" i="6"/>
  <c r="U4" i="3"/>
  <c r="U14" i="6"/>
  <c r="U9" i="12"/>
  <c r="U3" i="6"/>
  <c r="U17" i="14"/>
  <c r="U12" i="11"/>
  <c r="U7" i="12"/>
  <c r="D12" i="31"/>
  <c r="F5" i="26"/>
  <c r="U4" i="7"/>
  <c r="B11" i="31"/>
  <c r="C10" i="26"/>
  <c r="E9" i="2"/>
  <c r="B10" i="31"/>
  <c r="U7" i="11"/>
  <c r="B13" i="26"/>
  <c r="E8" i="31"/>
  <c r="U11" i="12"/>
  <c r="U13" i="6"/>
  <c r="B12" i="26"/>
  <c r="E7" i="31"/>
  <c r="U8" i="14"/>
  <c r="E10" i="26"/>
  <c r="E9" i="26"/>
  <c r="U9" i="3"/>
  <c r="U5" i="5"/>
  <c r="U17" i="5"/>
  <c r="U14" i="13"/>
  <c r="U11" i="7"/>
  <c r="U17" i="6"/>
  <c r="U14" i="11"/>
  <c r="F12" i="26"/>
  <c r="D10" i="26"/>
  <c r="B8" i="26"/>
  <c r="E5" i="26"/>
  <c r="F10" i="31"/>
  <c r="D8" i="31"/>
  <c r="B6" i="31"/>
  <c r="U8" i="3"/>
  <c r="U6" i="5"/>
  <c r="U3" i="13"/>
  <c r="U15" i="13"/>
  <c r="U12" i="7"/>
  <c r="U9" i="8"/>
  <c r="U6" i="6"/>
  <c r="U3" i="11"/>
  <c r="U15" i="11"/>
  <c r="U12" i="12"/>
  <c r="U9" i="14"/>
  <c r="C14" i="31"/>
  <c r="E12" i="26"/>
  <c r="F7" i="26"/>
  <c r="D5" i="26"/>
  <c r="B13" i="31"/>
  <c r="E10" i="31"/>
  <c r="C8" i="31"/>
  <c r="F5" i="31"/>
  <c r="U7" i="3"/>
  <c r="U7" i="5"/>
  <c r="U4" i="13"/>
  <c r="U16" i="13"/>
  <c r="U13" i="7"/>
  <c r="U10" i="8"/>
  <c r="U7" i="6"/>
  <c r="U4" i="11"/>
  <c r="U16" i="11"/>
  <c r="U13" i="12"/>
  <c r="U10" i="14"/>
  <c r="D12" i="26"/>
  <c r="B10" i="26"/>
  <c r="E7" i="26"/>
  <c r="D10" i="31"/>
  <c r="B8" i="31"/>
  <c r="E5" i="31"/>
  <c r="U6" i="3"/>
  <c r="U8" i="5"/>
  <c r="U5" i="13"/>
  <c r="U17" i="13"/>
  <c r="U14" i="7"/>
  <c r="U11" i="8"/>
  <c r="U8" i="6"/>
  <c r="U5" i="11"/>
  <c r="U17" i="11"/>
  <c r="U14" i="12"/>
  <c r="U11" i="14"/>
  <c r="E10" i="2"/>
  <c r="E14" i="26"/>
  <c r="C12" i="26"/>
  <c r="F9" i="26"/>
  <c r="D7" i="26"/>
  <c r="B5" i="26"/>
  <c r="E12" i="31"/>
  <c r="C10" i="31"/>
  <c r="F7" i="31"/>
  <c r="D5" i="31"/>
  <c r="U5" i="3"/>
  <c r="U9" i="5"/>
  <c r="U6" i="13"/>
  <c r="U3" i="7"/>
  <c r="U15" i="7"/>
  <c r="U12" i="8"/>
  <c r="U9" i="6"/>
  <c r="U6" i="11"/>
  <c r="U3" i="12"/>
  <c r="U15" i="12"/>
  <c r="U12" i="14"/>
  <c r="U16" i="7"/>
  <c r="U16" i="12"/>
  <c r="U13" i="14"/>
  <c r="C14" i="26"/>
  <c r="F11" i="26"/>
  <c r="D9" i="26"/>
  <c r="B7" i="26"/>
  <c r="F9" i="31"/>
  <c r="D7" i="31"/>
  <c r="B5" i="31"/>
  <c r="U16" i="3"/>
  <c r="U11" i="5"/>
  <c r="U8" i="13"/>
  <c r="U5" i="7"/>
  <c r="U17" i="7"/>
  <c r="U14" i="8"/>
  <c r="U11" i="6"/>
  <c r="U8" i="11"/>
  <c r="U5" i="12"/>
  <c r="U17" i="12"/>
  <c r="U14" i="14"/>
  <c r="D14" i="26"/>
  <c r="B14" i="26"/>
  <c r="E11" i="26"/>
  <c r="C9" i="26"/>
  <c r="F6" i="26"/>
  <c r="E9" i="31"/>
  <c r="C7" i="31"/>
  <c r="U3" i="3"/>
  <c r="U15" i="3"/>
  <c r="U12" i="5"/>
  <c r="U9" i="13"/>
  <c r="U6" i="7"/>
  <c r="U3" i="8"/>
  <c r="U15" i="8"/>
  <c r="U12" i="6"/>
  <c r="U9" i="11"/>
  <c r="U6" i="12"/>
  <c r="U3" i="14"/>
  <c r="U15" i="14"/>
  <c r="E8" i="2"/>
  <c r="F13" i="26"/>
  <c r="D11" i="26"/>
  <c r="B9" i="26"/>
  <c r="E6" i="26"/>
  <c r="F11" i="31"/>
  <c r="D9" i="31"/>
  <c r="B7" i="31"/>
  <c r="U13" i="3"/>
  <c r="U14" i="3"/>
  <c r="U13" i="5"/>
  <c r="U10" i="13"/>
  <c r="U7" i="7"/>
  <c r="U4" i="8"/>
  <c r="U16" i="8"/>
  <c r="U10" i="11"/>
  <c r="U4" i="14"/>
  <c r="U16" i="14"/>
  <c r="E11" i="2"/>
  <c r="C6" i="26" s="1"/>
  <c r="E13" i="26"/>
  <c r="C11" i="26"/>
  <c r="F8" i="26"/>
  <c r="D6" i="26"/>
  <c r="E11" i="31"/>
  <c r="C9" i="31"/>
  <c r="F6" i="31"/>
  <c r="U12" i="3"/>
  <c r="U17" i="3"/>
  <c r="U14" i="5"/>
  <c r="U11" i="13"/>
  <c r="U8" i="7"/>
  <c r="U5" i="8"/>
  <c r="U17" i="8"/>
  <c r="U11" i="11"/>
  <c r="U5" i="14"/>
  <c r="D13" i="26"/>
  <c r="B9" i="31"/>
  <c r="U3" i="5"/>
  <c r="U15" i="5"/>
  <c r="U12" i="13"/>
  <c r="U9" i="7"/>
  <c r="U6" i="8"/>
  <c r="C13" i="31"/>
  <c r="U10" i="3"/>
  <c r="U4" i="5"/>
  <c r="U16" i="5"/>
  <c r="U13" i="13"/>
  <c r="U10" i="7"/>
  <c r="U7" i="8"/>
  <c r="U4" i="6"/>
  <c r="U16" i="6"/>
  <c r="U13" i="11"/>
  <c r="U10" i="12"/>
  <c r="U7" i="14"/>
  <c r="G37" i="34"/>
  <c r="C8" i="26" l="1"/>
  <c r="C6" i="31"/>
  <c r="C5" i="26"/>
  <c r="C5" i="31"/>
  <c r="G1" i="28"/>
  <c r="F4" i="31" l="1"/>
  <c r="E4" i="31"/>
  <c r="D4" i="31"/>
  <c r="B4" i="31"/>
  <c r="C2" i="31"/>
  <c r="B4" i="27"/>
  <c r="L1" i="28"/>
  <c r="D26" i="28"/>
  <c r="G37" i="28"/>
  <c r="D37" i="28"/>
  <c r="C4" i="17"/>
  <c r="C65" i="17"/>
  <c r="C67" i="17"/>
  <c r="C64" i="17"/>
  <c r="C66" i="17"/>
  <c r="C15" i="17"/>
  <c r="C14" i="17"/>
  <c r="C13" i="17"/>
  <c r="C12" i="17"/>
  <c r="C11" i="17"/>
  <c r="C10" i="17"/>
  <c r="C58" i="17"/>
  <c r="C59" i="17"/>
  <c r="C60" i="17"/>
  <c r="C61" i="17"/>
  <c r="C62" i="17"/>
  <c r="C63"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9" i="17"/>
  <c r="C8" i="17"/>
  <c r="C7" i="17"/>
  <c r="C6" i="17"/>
  <c r="C5" i="17"/>
  <c r="E7" i="2"/>
  <c r="D32" i="16"/>
  <c r="G35" i="16" s="1"/>
  <c r="L1" i="16"/>
  <c r="D26" i="16"/>
  <c r="D37" i="16"/>
  <c r="D34" i="16"/>
  <c r="M21" i="21"/>
  <c r="M17" i="21"/>
  <c r="M20" i="21"/>
  <c r="M16" i="21"/>
  <c r="D20" i="3"/>
  <c r="D22" i="3"/>
  <c r="B12" i="27"/>
  <c r="C12" i="27"/>
  <c r="D12" i="27"/>
  <c r="E12" i="27"/>
  <c r="F12" i="27"/>
  <c r="G12" i="27"/>
  <c r="B13" i="27"/>
  <c r="C13" i="27"/>
  <c r="D13" i="27"/>
  <c r="E13" i="27"/>
  <c r="F13" i="27"/>
  <c r="G13" i="27"/>
  <c r="B14" i="27"/>
  <c r="C14" i="27"/>
  <c r="D14" i="27"/>
  <c r="E14" i="27"/>
  <c r="F14" i="27"/>
  <c r="G14" i="27"/>
  <c r="B15" i="27"/>
  <c r="C15" i="27"/>
  <c r="D15" i="27"/>
  <c r="E15" i="27"/>
  <c r="F15" i="27"/>
  <c r="G15" i="27"/>
  <c r="B3" i="27"/>
  <c r="C3" i="27"/>
  <c r="D3" i="27"/>
  <c r="E3" i="27"/>
  <c r="F3" i="27"/>
  <c r="G3" i="27"/>
  <c r="C4" i="27"/>
  <c r="D4" i="27"/>
  <c r="E4" i="27"/>
  <c r="F4" i="27"/>
  <c r="G4" i="27"/>
  <c r="B5" i="27"/>
  <c r="C5" i="27"/>
  <c r="D5" i="27"/>
  <c r="E5" i="27"/>
  <c r="F5" i="27"/>
  <c r="G5" i="27"/>
  <c r="B6" i="27"/>
  <c r="C6" i="27"/>
  <c r="D6" i="27"/>
  <c r="E6" i="27"/>
  <c r="F6" i="27"/>
  <c r="G6" i="27"/>
  <c r="B7" i="27"/>
  <c r="C7" i="27"/>
  <c r="D7" i="27"/>
  <c r="E7" i="27"/>
  <c r="F7" i="27"/>
  <c r="G7" i="27"/>
  <c r="B8" i="27"/>
  <c r="C8" i="27"/>
  <c r="D8" i="27"/>
  <c r="E8" i="27"/>
  <c r="F8" i="27"/>
  <c r="G8" i="27"/>
  <c r="B9" i="27"/>
  <c r="C9" i="27"/>
  <c r="D9" i="27"/>
  <c r="E9" i="27"/>
  <c r="F9" i="27"/>
  <c r="G9" i="27"/>
  <c r="B10" i="27"/>
  <c r="C10" i="27"/>
  <c r="D10" i="27"/>
  <c r="E10" i="27"/>
  <c r="F10" i="27"/>
  <c r="G10" i="27"/>
  <c r="B11" i="27"/>
  <c r="C11" i="27"/>
  <c r="D11" i="27"/>
  <c r="E11" i="27"/>
  <c r="F11" i="27"/>
  <c r="G11" i="27"/>
  <c r="C2" i="26"/>
  <c r="B4" i="26"/>
  <c r="C4" i="26"/>
  <c r="D4" i="26"/>
  <c r="F4" i="26"/>
  <c r="E4" i="26"/>
  <c r="A52" i="17"/>
  <c r="A60" i="17"/>
  <c r="A13" i="17" l="1"/>
  <c r="C4" i="31"/>
  <c r="G32" i="28"/>
  <c r="A32" i="17"/>
  <c r="A54" i="17"/>
  <c r="A16" i="17"/>
  <c r="A28" i="17"/>
  <c r="A20" i="17"/>
  <c r="A18" i="17"/>
  <c r="G35" i="28"/>
  <c r="A50" i="17"/>
  <c r="A22" i="17"/>
  <c r="A46" i="17"/>
  <c r="A66" i="17"/>
  <c r="A48" i="17"/>
  <c r="G33" i="28"/>
  <c r="A26" i="17"/>
  <c r="A30" i="17"/>
  <c r="G33" i="16"/>
  <c r="A24" i="17"/>
  <c r="A62" i="17"/>
  <c r="A56" i="17"/>
  <c r="G34" i="28"/>
  <c r="A64" i="17"/>
  <c r="A10" i="17"/>
  <c r="A4" i="17"/>
  <c r="A7" i="17"/>
  <c r="M18" i="21"/>
  <c r="A38" i="17"/>
  <c r="D18" i="3"/>
  <c r="G37" i="16"/>
  <c r="M19" i="21"/>
  <c r="A36" i="17"/>
  <c r="A42" i="17"/>
  <c r="D16" i="3"/>
  <c r="G32" i="16"/>
  <c r="G34" i="16"/>
  <c r="A40" i="17"/>
  <c r="A44" i="17"/>
  <c r="A34" i="17"/>
  <c r="A58"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<sst xmlns="http://schemas.openxmlformats.org/spreadsheetml/2006/main" count="771" uniqueCount="211">
  <si>
    <t>印</t>
    <rPh sb="0" eb="1">
      <t>イン</t>
    </rPh>
    <phoneticPr fontId="2"/>
  </si>
  <si>
    <t>所在</t>
    <rPh sb="0" eb="2">
      <t>ショザイ</t>
    </rPh>
    <phoneticPr fontId="2"/>
  </si>
  <si>
    <t>地番</t>
    <rPh sb="0" eb="2">
      <t>チバン</t>
    </rPh>
    <phoneticPr fontId="2"/>
  </si>
  <si>
    <t>地目</t>
    <rPh sb="0" eb="2">
      <t>チモク</t>
    </rPh>
    <phoneticPr fontId="2"/>
  </si>
  <si>
    <t>地積</t>
    <rPh sb="0" eb="2">
      <t>チセキ</t>
    </rPh>
    <phoneticPr fontId="2"/>
  </si>
  <si>
    <t>住所</t>
    <rPh sb="0" eb="2">
      <t>ジュウショ</t>
    </rPh>
    <phoneticPr fontId="2"/>
  </si>
  <si>
    <t>氏名</t>
    <rPh sb="0" eb="2">
      <t>シメイ</t>
    </rPh>
    <phoneticPr fontId="2"/>
  </si>
  <si>
    <t>甲の土地</t>
    <rPh sb="0" eb="1">
      <t>コウ</t>
    </rPh>
    <rPh sb="2" eb="4">
      <t>トチ</t>
    </rPh>
    <phoneticPr fontId="2"/>
  </si>
  <si>
    <t>乙の土地</t>
    <rPh sb="0" eb="1">
      <t>オツ</t>
    </rPh>
    <rPh sb="2" eb="4">
      <t>トチ</t>
    </rPh>
    <phoneticPr fontId="2"/>
  </si>
  <si>
    <t>別紙測量図のとおり</t>
    <rPh sb="0" eb="2">
      <t>ベッシ</t>
    </rPh>
    <rPh sb="2" eb="5">
      <t>ソクリョウズ</t>
    </rPh>
    <phoneticPr fontId="2"/>
  </si>
  <si>
    <t>土　地　境　界　確　認　書</t>
    <rPh sb="0" eb="1">
      <t>ツチ</t>
    </rPh>
    <rPh sb="2" eb="3">
      <t>チ</t>
    </rPh>
    <rPh sb="4" eb="5">
      <t>サカイ</t>
    </rPh>
    <rPh sb="6" eb="7">
      <t>カイ</t>
    </rPh>
    <rPh sb="8" eb="9">
      <t>アキラ</t>
    </rPh>
    <rPh sb="10" eb="11">
      <t>シノブ</t>
    </rPh>
    <rPh sb="12" eb="13">
      <t>ショ</t>
    </rPh>
    <phoneticPr fontId="2"/>
  </si>
  <si>
    <t>甲</t>
    <rPh sb="0" eb="1">
      <t>コウ</t>
    </rPh>
    <phoneticPr fontId="2"/>
  </si>
  <si>
    <t>乙</t>
    <rPh sb="0" eb="1">
      <t>オツ</t>
    </rPh>
    <phoneticPr fontId="2"/>
  </si>
  <si>
    <t>住　所</t>
    <rPh sb="0" eb="1">
      <t>ジュウ</t>
    </rPh>
    <rPh sb="2" eb="3">
      <t>ショ</t>
    </rPh>
    <phoneticPr fontId="2"/>
  </si>
  <si>
    <t>氏　名</t>
    <rPh sb="0" eb="1">
      <t>シ</t>
    </rPh>
    <rPh sb="2" eb="3">
      <t>メイ</t>
    </rPh>
    <phoneticPr fontId="2"/>
  </si>
  <si>
    <t>土地</t>
    <rPh sb="0" eb="2">
      <t>トチ</t>
    </rPh>
    <phoneticPr fontId="2"/>
  </si>
  <si>
    <t>備考</t>
    <rPh sb="0" eb="2">
      <t>ビコウ</t>
    </rPh>
    <phoneticPr fontId="2"/>
  </si>
  <si>
    <t>様</t>
    <rPh sb="0" eb="1">
      <t>サマ</t>
    </rPh>
    <phoneticPr fontId="2"/>
  </si>
  <si>
    <t>土地所在</t>
    <rPh sb="0" eb="2">
      <t>トチ</t>
    </rPh>
    <rPh sb="2" eb="4">
      <t>ショザイ</t>
    </rPh>
    <phoneticPr fontId="2"/>
  </si>
  <si>
    <t>登記簿上の住所</t>
    <rPh sb="0" eb="3">
      <t>トウキボ</t>
    </rPh>
    <rPh sb="3" eb="4">
      <t>ジョウ</t>
    </rPh>
    <rPh sb="5" eb="7">
      <t>ジュウショ</t>
    </rPh>
    <phoneticPr fontId="2"/>
  </si>
  <si>
    <t>所有者名</t>
    <rPh sb="0" eb="3">
      <t>ショユウシャ</t>
    </rPh>
    <rPh sb="3" eb="4">
      <t>メイ</t>
    </rPh>
    <phoneticPr fontId="2"/>
  </si>
  <si>
    <t>土　地　所　有　者　調　書</t>
    <rPh sb="0" eb="1">
      <t>ツチ</t>
    </rPh>
    <rPh sb="2" eb="3">
      <t>チ</t>
    </rPh>
    <rPh sb="4" eb="5">
      <t>ショ</t>
    </rPh>
    <rPh sb="6" eb="7">
      <t>ユウ</t>
    </rPh>
    <rPh sb="8" eb="9">
      <t>シャ</t>
    </rPh>
    <rPh sb="10" eb="11">
      <t>チョウ</t>
    </rPh>
    <rPh sb="12" eb="13">
      <t>ショ</t>
    </rPh>
    <phoneticPr fontId="2"/>
  </si>
  <si>
    <t>土地境界確認についてのお願い</t>
    <rPh sb="0" eb="2">
      <t>トチ</t>
    </rPh>
    <rPh sb="2" eb="4">
      <t>キョウカイ</t>
    </rPh>
    <rPh sb="4" eb="6">
      <t>カクニン</t>
    </rPh>
    <rPh sb="12" eb="13">
      <t>ネガ</t>
    </rPh>
    <phoneticPr fontId="2"/>
  </si>
  <si>
    <t>立会場所</t>
    <rPh sb="0" eb="2">
      <t>タチアイ</t>
    </rPh>
    <rPh sb="2" eb="3">
      <t>バ</t>
    </rPh>
    <rPh sb="3" eb="4">
      <t>ジョ</t>
    </rPh>
    <phoneticPr fontId="2"/>
  </si>
  <si>
    <t>土地所有者</t>
    <rPh sb="0" eb="2">
      <t>トチ</t>
    </rPh>
    <rPh sb="2" eb="5">
      <t>ショユウシャ</t>
    </rPh>
    <phoneticPr fontId="2"/>
  </si>
  <si>
    <t>実務取扱者</t>
    <rPh sb="0" eb="2">
      <t>ジツム</t>
    </rPh>
    <rPh sb="2" eb="5">
      <t>トリアツカイシャ</t>
    </rPh>
    <phoneticPr fontId="2"/>
  </si>
  <si>
    <t>住居表示</t>
    <rPh sb="0" eb="2">
      <t>ジュウキョ</t>
    </rPh>
    <rPh sb="2" eb="4">
      <t>ヒョウジ</t>
    </rPh>
    <phoneticPr fontId="2"/>
  </si>
  <si>
    <t>記</t>
    <rPh sb="0" eb="1">
      <t>キ</t>
    </rPh>
    <phoneticPr fontId="2"/>
  </si>
  <si>
    <t>以上</t>
    <rPh sb="0" eb="2">
      <t>イジョウ</t>
    </rPh>
    <phoneticPr fontId="2"/>
  </si>
  <si>
    <t>TEL：</t>
    <phoneticPr fontId="2"/>
  </si>
  <si>
    <t>FAX：</t>
    <phoneticPr fontId="2"/>
  </si>
  <si>
    <t>立会場所・土地の所在・地番</t>
    <rPh sb="0" eb="2">
      <t>タチアイ</t>
    </rPh>
    <rPh sb="2" eb="4">
      <t>バショ</t>
    </rPh>
    <rPh sb="5" eb="7">
      <t>トチ</t>
    </rPh>
    <rPh sb="8" eb="10">
      <t>ショザイ</t>
    </rPh>
    <rPh sb="11" eb="13">
      <t>チバン</t>
    </rPh>
    <phoneticPr fontId="2"/>
  </si>
  <si>
    <t>土地所有者　住所・氏名・印</t>
    <rPh sb="0" eb="2">
      <t>トチ</t>
    </rPh>
    <rPh sb="2" eb="5">
      <t>ショユウシャ</t>
    </rPh>
    <rPh sb="6" eb="8">
      <t>ジュウショ</t>
    </rPh>
    <rPh sb="9" eb="11">
      <t>シメイ</t>
    </rPh>
    <rPh sb="12" eb="13">
      <t>イン</t>
    </rPh>
    <phoneticPr fontId="2"/>
  </si>
  <si>
    <t>立会年月日</t>
    <rPh sb="0" eb="1">
      <t>タ</t>
    </rPh>
    <rPh sb="1" eb="2">
      <t>ア</t>
    </rPh>
    <rPh sb="2" eb="5">
      <t>ネンガッピ</t>
    </rPh>
    <phoneticPr fontId="2"/>
  </si>
  <si>
    <t>実印</t>
    <rPh sb="0" eb="2">
      <t>ジツイン</t>
    </rPh>
    <phoneticPr fontId="2"/>
  </si>
  <si>
    <t>　　月　　日</t>
    <rPh sb="2" eb="3">
      <t>ガツ</t>
    </rPh>
    <rPh sb="5" eb="6">
      <t>ニチ</t>
    </rPh>
    <phoneticPr fontId="2"/>
  </si>
  <si>
    <t>　月　　日</t>
    <rPh sb="1" eb="2">
      <t>ガツ</t>
    </rPh>
    <rPh sb="4" eb="5">
      <t>ニチ</t>
    </rPh>
    <phoneticPr fontId="2"/>
  </si>
  <si>
    <t>住民登録してある住所</t>
    <rPh sb="0" eb="2">
      <t>ジュウミン</t>
    </rPh>
    <rPh sb="2" eb="4">
      <t>トウロク</t>
    </rPh>
    <rPh sb="8" eb="10">
      <t>ジュウショ</t>
    </rPh>
    <phoneticPr fontId="2"/>
  </si>
  <si>
    <t>土地の所在</t>
    <rPh sb="0" eb="2">
      <t>トチ</t>
    </rPh>
    <rPh sb="3" eb="5">
      <t>ショザイ</t>
    </rPh>
    <phoneticPr fontId="2"/>
  </si>
  <si>
    <t>地積(㎡)</t>
    <rPh sb="0" eb="2">
      <t>チセキ</t>
    </rPh>
    <phoneticPr fontId="2"/>
  </si>
  <si>
    <t>現住所</t>
    <rPh sb="0" eb="3">
      <t>ゲンジュウショ</t>
    </rPh>
    <phoneticPr fontId="2"/>
  </si>
  <si>
    <t>電話番号</t>
    <rPh sb="0" eb="2">
      <t>デンワ</t>
    </rPh>
    <rPh sb="2" eb="4">
      <t>バンゴウ</t>
    </rPh>
    <phoneticPr fontId="2"/>
  </si>
  <si>
    <t>住所については、"－"を使用して記入しても構いません。</t>
    <rPh sb="0" eb="2">
      <t>ジュウショ</t>
    </rPh>
    <rPh sb="12" eb="14">
      <t>シヨウ</t>
    </rPh>
    <rPh sb="16" eb="18">
      <t>キニュウ</t>
    </rPh>
    <rPh sb="21" eb="22">
      <t>カマ</t>
    </rPh>
    <phoneticPr fontId="2"/>
  </si>
  <si>
    <t>みほん</t>
    <phoneticPr fontId="2"/>
  </si>
  <si>
    <r>
      <t xml:space="preserve">合意年月日
</t>
    </r>
    <r>
      <rPr>
        <sz val="9"/>
        <color indexed="10"/>
        <rFont val="HG正楷書体-PRO"/>
        <family val="4"/>
        <charset val="128"/>
      </rPr>
      <t>（記入した日付）</t>
    </r>
    <rPh sb="0" eb="2">
      <t>ゴウイ</t>
    </rPh>
    <rPh sb="2" eb="5">
      <t>ネンガッピ</t>
    </rPh>
    <rPh sb="7" eb="9">
      <t>キニュウ</t>
    </rPh>
    <rPh sb="11" eb="13">
      <t>ヒヅケ</t>
    </rPh>
    <phoneticPr fontId="2"/>
  </si>
  <si>
    <t xml:space="preserve"> </t>
    <phoneticPr fontId="2"/>
  </si>
  <si>
    <t>　</t>
    <phoneticPr fontId="2"/>
  </si>
  <si>
    <t>境界確定通知書</t>
    <rPh sb="0" eb="2">
      <t>キョウカイ</t>
    </rPh>
    <rPh sb="2" eb="4">
      <t>カクテイ</t>
    </rPh>
    <rPh sb="4" eb="7">
      <t>ツウチショ</t>
    </rPh>
    <phoneticPr fontId="2"/>
  </si>
  <si>
    <t>土地境界確認書</t>
    <rPh sb="0" eb="2">
      <t>トチ</t>
    </rPh>
    <rPh sb="2" eb="4">
      <t>キョウカイ</t>
    </rPh>
    <rPh sb="4" eb="7">
      <t>カクニンショ</t>
    </rPh>
    <phoneticPr fontId="2"/>
  </si>
  <si>
    <t>現況実測図</t>
    <rPh sb="0" eb="2">
      <t>ゲンキョウ</t>
    </rPh>
    <rPh sb="2" eb="4">
      <t>ジッソク</t>
    </rPh>
    <rPh sb="4" eb="5">
      <t>ズ</t>
    </rPh>
    <phoneticPr fontId="2"/>
  </si>
  <si>
    <t>真北計算書</t>
    <rPh sb="0" eb="1">
      <t>シン</t>
    </rPh>
    <rPh sb="1" eb="2">
      <t>ホク</t>
    </rPh>
    <rPh sb="2" eb="5">
      <t>ケイサンショ</t>
    </rPh>
    <phoneticPr fontId="2"/>
  </si>
  <si>
    <t>申請書副本</t>
    <rPh sb="0" eb="3">
      <t>シンセイショ</t>
    </rPh>
    <rPh sb="3" eb="5">
      <t>フクホン</t>
    </rPh>
    <phoneticPr fontId="2"/>
  </si>
  <si>
    <t>公図</t>
    <rPh sb="0" eb="2">
      <t>コウズ</t>
    </rPh>
    <phoneticPr fontId="2"/>
  </si>
  <si>
    <t>被相続人</t>
    <rPh sb="0" eb="1">
      <t>ヒ</t>
    </rPh>
    <rPh sb="1" eb="4">
      <t>ソウゾクニン</t>
    </rPh>
    <phoneticPr fontId="2"/>
  </si>
  <si>
    <t>調査測量図</t>
  </si>
  <si>
    <t>調査測量図</t>
    <rPh sb="0" eb="2">
      <t>チョウサ</t>
    </rPh>
    <rPh sb="2" eb="5">
      <t>ソクリョウズ</t>
    </rPh>
    <phoneticPr fontId="2"/>
  </si>
  <si>
    <t>道路区域証明書</t>
    <rPh sb="0" eb="2">
      <t>ドウロ</t>
    </rPh>
    <rPh sb="2" eb="4">
      <t>クイキ</t>
    </rPh>
    <rPh sb="4" eb="7">
      <t>ショウメイショ</t>
    </rPh>
    <phoneticPr fontId="2"/>
  </si>
  <si>
    <t>調査年月日</t>
    <rPh sb="0" eb="2">
      <t>チョウサ</t>
    </rPh>
    <rPh sb="2" eb="5">
      <t>ネンガッピ</t>
    </rPh>
    <phoneticPr fontId="2"/>
  </si>
  <si>
    <r>
      <t>※立会場所・土地の所在地番は、</t>
    </r>
    <r>
      <rPr>
        <sz val="9"/>
        <color indexed="10"/>
        <rFont val="ＭＳ 明朝"/>
        <family val="1"/>
        <charset val="128"/>
      </rPr>
      <t>省略せずに</t>
    </r>
    <r>
      <rPr>
        <sz val="9"/>
        <rFont val="ＭＳ 明朝"/>
        <family val="1"/>
        <charset val="128"/>
      </rPr>
      <t>記入をお願いします。（見本と同じように記入願います。）</t>
    </r>
    <rPh sb="1" eb="3">
      <t>タチアイ</t>
    </rPh>
    <rPh sb="3" eb="5">
      <t>バショ</t>
    </rPh>
    <rPh sb="6" eb="8">
      <t>トチ</t>
    </rPh>
    <rPh sb="9" eb="11">
      <t>ショザイ</t>
    </rPh>
    <rPh sb="11" eb="13">
      <t>チバン</t>
    </rPh>
    <rPh sb="15" eb="17">
      <t>ショウリャク</t>
    </rPh>
    <rPh sb="20" eb="22">
      <t>キニュウ</t>
    </rPh>
    <rPh sb="24" eb="25">
      <t>ネガ</t>
    </rPh>
    <rPh sb="31" eb="33">
      <t>ミホン</t>
    </rPh>
    <rPh sb="34" eb="35">
      <t>オナ</t>
    </rPh>
    <rPh sb="39" eb="41">
      <t>キニュウ</t>
    </rPh>
    <rPh sb="41" eb="42">
      <t>ネガ</t>
    </rPh>
    <phoneticPr fontId="2"/>
  </si>
  <si>
    <r>
      <t>現住所が、記載の住所と異なる場合は、</t>
    </r>
    <r>
      <rPr>
        <sz val="9"/>
        <color indexed="10"/>
        <rFont val="ＭＳ 明朝"/>
        <family val="1"/>
        <charset val="128"/>
      </rPr>
      <t>現住所</t>
    </r>
    <r>
      <rPr>
        <sz val="9"/>
        <rFont val="ＭＳ 明朝"/>
        <family val="1"/>
        <charset val="128"/>
      </rPr>
      <t>の記入をお願いします。</t>
    </r>
    <rPh sb="0" eb="3">
      <t>ゲンジュウショ</t>
    </rPh>
    <rPh sb="5" eb="7">
      <t>キサイ</t>
    </rPh>
    <rPh sb="8" eb="10">
      <t>ジュウショ</t>
    </rPh>
    <rPh sb="11" eb="12">
      <t>コト</t>
    </rPh>
    <rPh sb="14" eb="16">
      <t>バアイ</t>
    </rPh>
    <rPh sb="18" eb="21">
      <t>ゲンジュウショ</t>
    </rPh>
    <rPh sb="22" eb="24">
      <t>キニュウ</t>
    </rPh>
    <rPh sb="26" eb="27">
      <t>ネガ</t>
    </rPh>
    <phoneticPr fontId="2"/>
  </si>
  <si>
    <t>土地登記簿調書</t>
    <rPh sb="0" eb="2">
      <t>トチ</t>
    </rPh>
    <rPh sb="2" eb="4">
      <t>トウキ</t>
    </rPh>
    <rPh sb="4" eb="5">
      <t>ボ</t>
    </rPh>
    <rPh sb="5" eb="7">
      <t>チョウショ</t>
    </rPh>
    <phoneticPr fontId="2"/>
  </si>
  <si>
    <t>摘要</t>
    <rPh sb="0" eb="2">
      <t>テキヨウ</t>
    </rPh>
    <phoneticPr fontId="2"/>
  </si>
  <si>
    <t>所有者住所</t>
    <rPh sb="0" eb="3">
      <t>ショユウシャ</t>
    </rPh>
    <rPh sb="3" eb="5">
      <t>ジュウショ</t>
    </rPh>
    <phoneticPr fontId="2"/>
  </si>
  <si>
    <t>立会予定日</t>
    <rPh sb="0" eb="2">
      <t>タチアイ</t>
    </rPh>
    <rPh sb="2" eb="5">
      <t>ヨテイビ</t>
    </rPh>
    <phoneticPr fontId="2"/>
  </si>
  <si>
    <t>立会日</t>
    <rPh sb="0" eb="2">
      <t>タチアイ</t>
    </rPh>
    <rPh sb="2" eb="3">
      <t>ビ</t>
    </rPh>
    <phoneticPr fontId="2"/>
  </si>
  <si>
    <t>突然のご連絡にて申し訳ございません。</t>
    <rPh sb="0" eb="2">
      <t>トツゼン</t>
    </rPh>
    <rPh sb="4" eb="6">
      <t>レンラク</t>
    </rPh>
    <rPh sb="8" eb="9">
      <t>モウ</t>
    </rPh>
    <rPh sb="10" eb="11">
      <t>ワケ</t>
    </rPh>
    <phoneticPr fontId="2"/>
  </si>
  <si>
    <t>そのため、お忙しいところ大変恐縮ですが、ご協力を賜りたいと思い、境界が接しているご所有者の皆様へご挨拶に伺っております。</t>
    <rPh sb="6" eb="7">
      <t>イソガ</t>
    </rPh>
    <rPh sb="12" eb="14">
      <t>タイヘン</t>
    </rPh>
    <rPh sb="14" eb="16">
      <t>キョウシュク</t>
    </rPh>
    <rPh sb="21" eb="23">
      <t>キョウリョク</t>
    </rPh>
    <rPh sb="24" eb="25">
      <t>タマワ</t>
    </rPh>
    <rPh sb="29" eb="30">
      <t>オモ</t>
    </rPh>
    <rPh sb="32" eb="34">
      <t>キョウカイ</t>
    </rPh>
    <rPh sb="35" eb="36">
      <t>セッ</t>
    </rPh>
    <rPh sb="41" eb="43">
      <t>ショユウ</t>
    </rPh>
    <rPh sb="43" eb="44">
      <t>シャ</t>
    </rPh>
    <rPh sb="45" eb="47">
      <t>ミナサマ</t>
    </rPh>
    <rPh sb="49" eb="51">
      <t>アイサツ</t>
    </rPh>
    <rPh sb="52" eb="53">
      <t>ウカガ</t>
    </rPh>
    <phoneticPr fontId="2"/>
  </si>
  <si>
    <t>何卒ご協力のほど、宜しくお願い申し上げます。</t>
    <rPh sb="0" eb="2">
      <t>ナニトゾ</t>
    </rPh>
    <rPh sb="3" eb="5">
      <t>キョウリョク</t>
    </rPh>
    <rPh sb="9" eb="10">
      <t>ヨロ</t>
    </rPh>
    <rPh sb="13" eb="14">
      <t>ネガ</t>
    </rPh>
    <rPh sb="15" eb="16">
      <t>モウ</t>
    </rPh>
    <rPh sb="17" eb="18">
      <t>ア</t>
    </rPh>
    <phoneticPr fontId="2"/>
  </si>
  <si>
    <t>携帯：</t>
    <rPh sb="0" eb="2">
      <t>ケイタイ</t>
    </rPh>
    <phoneticPr fontId="2"/>
  </si>
  <si>
    <t>今回、関連書類を同封させていただきましたので、ご確認のほどお願い申し上げます。
尚、お立ち会いの日程に関しまして、調整させていただきたいと思いますので、お手数ですが、実務取扱者までご連絡いただけますと幸いです。</t>
    <rPh sb="0" eb="2">
      <t>コンカイ</t>
    </rPh>
    <rPh sb="3" eb="5">
      <t>カンレン</t>
    </rPh>
    <rPh sb="5" eb="7">
      <t>ショルイ</t>
    </rPh>
    <rPh sb="8" eb="10">
      <t>ドウフウ</t>
    </rPh>
    <rPh sb="24" eb="26">
      <t>カクニン</t>
    </rPh>
    <rPh sb="30" eb="31">
      <t>ネガ</t>
    </rPh>
    <rPh sb="32" eb="33">
      <t>モウ</t>
    </rPh>
    <rPh sb="34" eb="35">
      <t>ア</t>
    </rPh>
    <rPh sb="40" eb="41">
      <t>ナオ</t>
    </rPh>
    <rPh sb="43" eb="44">
      <t>タ</t>
    </rPh>
    <rPh sb="45" eb="46">
      <t>ア</t>
    </rPh>
    <rPh sb="48" eb="50">
      <t>ニッテイ</t>
    </rPh>
    <rPh sb="51" eb="52">
      <t>カン</t>
    </rPh>
    <rPh sb="57" eb="59">
      <t>チョウセイ</t>
    </rPh>
    <rPh sb="69" eb="70">
      <t>オモ</t>
    </rPh>
    <rPh sb="77" eb="79">
      <t>テスウ</t>
    </rPh>
    <rPh sb="83" eb="85">
      <t>ジツム</t>
    </rPh>
    <rPh sb="85" eb="88">
      <t>トリアツカイシャ</t>
    </rPh>
    <rPh sb="91" eb="93">
      <t>レンラク</t>
    </rPh>
    <rPh sb="100" eb="101">
      <t>サイワ</t>
    </rPh>
    <phoneticPr fontId="2"/>
  </si>
  <si>
    <t>境界を確認した土地の表示</t>
    <rPh sb="0" eb="2">
      <t>キョウカイ</t>
    </rPh>
    <rPh sb="3" eb="5">
      <t>カクニン</t>
    </rPh>
    <rPh sb="7" eb="9">
      <t>トチ</t>
    </rPh>
    <rPh sb="10" eb="12">
      <t>ヒョウジ</t>
    </rPh>
    <phoneticPr fontId="2"/>
  </si>
  <si>
    <t>甲及び乙の境界の状況</t>
    <rPh sb="0" eb="1">
      <t>コウ</t>
    </rPh>
    <rPh sb="1" eb="2">
      <t>オヨ</t>
    </rPh>
    <rPh sb="3" eb="4">
      <t>オツ</t>
    </rPh>
    <rPh sb="5" eb="7">
      <t>キョウカイ</t>
    </rPh>
    <rPh sb="8" eb="10">
      <t>ジョウキョウ</t>
    </rPh>
    <phoneticPr fontId="2"/>
  </si>
  <si>
    <t>摘要欄</t>
    <rPh sb="0" eb="2">
      <t>テキヨウ</t>
    </rPh>
    <rPh sb="2" eb="3">
      <t>ラン</t>
    </rPh>
    <phoneticPr fontId="2"/>
  </si>
  <si>
    <t>　以上のとおり甲及び乙は、それぞれの境界を確認したことを証するため、本確認書を
２通作成し、各１通を保有する。</t>
    <rPh sb="1" eb="3">
      <t>イジョウ</t>
    </rPh>
    <rPh sb="7" eb="8">
      <t>コウ</t>
    </rPh>
    <rPh sb="8" eb="9">
      <t>オヨ</t>
    </rPh>
    <rPh sb="10" eb="11">
      <t>オツ</t>
    </rPh>
    <rPh sb="18" eb="20">
      <t>キョウカイ</t>
    </rPh>
    <rPh sb="21" eb="23">
      <t>カクニン</t>
    </rPh>
    <rPh sb="28" eb="29">
      <t>ショウ</t>
    </rPh>
    <rPh sb="34" eb="35">
      <t>ホン</t>
    </rPh>
    <rPh sb="35" eb="38">
      <t>カクニンショ</t>
    </rPh>
    <rPh sb="41" eb="42">
      <t>ツウ</t>
    </rPh>
    <rPh sb="42" eb="44">
      <t>サクセイ</t>
    </rPh>
    <rPh sb="46" eb="47">
      <t>カク</t>
    </rPh>
    <rPh sb="48" eb="49">
      <t>ツウ</t>
    </rPh>
    <rPh sb="50" eb="52">
      <t>ホユウ</t>
    </rPh>
    <phoneticPr fontId="2"/>
  </si>
  <si>
    <t>090-4244-4777</t>
    <phoneticPr fontId="2"/>
  </si>
  <si>
    <t>土地家屋調査士　笹生（さそう）　昌史</t>
    <rPh sb="0" eb="2">
      <t>トチ</t>
    </rPh>
    <rPh sb="2" eb="4">
      <t>カオク</t>
    </rPh>
    <rPh sb="4" eb="6">
      <t>チョウサ</t>
    </rPh>
    <rPh sb="6" eb="7">
      <t>シ</t>
    </rPh>
    <rPh sb="8" eb="10">
      <t>サソウ</t>
    </rPh>
    <rPh sb="16" eb="18">
      <t>マサシ</t>
    </rPh>
    <phoneticPr fontId="2"/>
  </si>
  <si>
    <t>調査測量図</t>
    <rPh sb="0" eb="2">
      <t>チョウサ</t>
    </rPh>
    <rPh sb="2" eb="4">
      <t>ソクリョウ</t>
    </rPh>
    <rPh sb="4" eb="5">
      <t>ズ</t>
    </rPh>
    <phoneticPr fontId="2"/>
  </si>
  <si>
    <t>この度、下記土地所有者である上野弘貴様より、隣地土地所有者の方々に、境界立会並びに境界確認書の取交わしをお願いしたいとの依頼を受けました。</t>
    <rPh sb="2" eb="3">
      <t>タビ</t>
    </rPh>
    <rPh sb="4" eb="6">
      <t>カキ</t>
    </rPh>
    <rPh sb="6" eb="8">
      <t>トチ</t>
    </rPh>
    <rPh sb="8" eb="11">
      <t>ショユウシャ</t>
    </rPh>
    <rPh sb="14" eb="16">
      <t>ウエノ</t>
    </rPh>
    <rPh sb="16" eb="18">
      <t>ヒロキ</t>
    </rPh>
    <rPh sb="18" eb="19">
      <t>サマ</t>
    </rPh>
    <rPh sb="22" eb="24">
      <t>リンチ</t>
    </rPh>
    <rPh sb="24" eb="26">
      <t>トチ</t>
    </rPh>
    <rPh sb="26" eb="29">
      <t>ショユウシャ</t>
    </rPh>
    <rPh sb="30" eb="32">
      <t>カタガタ</t>
    </rPh>
    <rPh sb="34" eb="36">
      <t>キョウカイ</t>
    </rPh>
    <rPh sb="36" eb="38">
      <t>タチアイ</t>
    </rPh>
    <rPh sb="38" eb="39">
      <t>ナラ</t>
    </rPh>
    <rPh sb="41" eb="43">
      <t>キョウカイ</t>
    </rPh>
    <rPh sb="43" eb="46">
      <t>カクニンショ</t>
    </rPh>
    <rPh sb="47" eb="48">
      <t>ト</t>
    </rPh>
    <rPh sb="48" eb="49">
      <t>カ</t>
    </rPh>
    <rPh sb="53" eb="54">
      <t>ネガ</t>
    </rPh>
    <rPh sb="60" eb="62">
      <t>イライ</t>
    </rPh>
    <rPh sb="63" eb="64">
      <t>ウ</t>
    </rPh>
    <phoneticPr fontId="2"/>
  </si>
  <si>
    <t>須藤　千代子</t>
    <rPh sb="0" eb="2">
      <t>スドウ</t>
    </rPh>
    <rPh sb="3" eb="6">
      <t>チヨコ</t>
    </rPh>
    <phoneticPr fontId="2"/>
  </si>
  <si>
    <t>　なお、後日甲及び乙が前記土地を第三者に譲渡等により所有権を移転する場合には、
当該第三者に本確認書の内容を承継させるものとする。</t>
    <rPh sb="4" eb="6">
      <t>ゴジツ</t>
    </rPh>
    <rPh sb="6" eb="7">
      <t>コウ</t>
    </rPh>
    <rPh sb="7" eb="8">
      <t>オヨ</t>
    </rPh>
    <rPh sb="9" eb="10">
      <t>オツ</t>
    </rPh>
    <rPh sb="11" eb="13">
      <t>ゼンキ</t>
    </rPh>
    <rPh sb="13" eb="15">
      <t>トチ</t>
    </rPh>
    <rPh sb="16" eb="17">
      <t>ダイ</t>
    </rPh>
    <rPh sb="17" eb="19">
      <t>サンシャ</t>
    </rPh>
    <rPh sb="20" eb="22">
      <t>ジョウト</t>
    </rPh>
    <rPh sb="22" eb="23">
      <t>トウ</t>
    </rPh>
    <rPh sb="26" eb="29">
      <t>ショユウケン</t>
    </rPh>
    <rPh sb="30" eb="32">
      <t>イテン</t>
    </rPh>
    <rPh sb="34" eb="36">
      <t>バアイ</t>
    </rPh>
    <rPh sb="40" eb="42">
      <t>トウガイ</t>
    </rPh>
    <rPh sb="42" eb="43">
      <t>ダイ</t>
    </rPh>
    <rPh sb="43" eb="45">
      <t>サンシャ</t>
    </rPh>
    <rPh sb="46" eb="47">
      <t>ホン</t>
    </rPh>
    <rPh sb="47" eb="50">
      <t>カクニンショ</t>
    </rPh>
    <rPh sb="51" eb="53">
      <t>ナイヨウ</t>
    </rPh>
    <rPh sb="54" eb="56">
      <t>ショウケイ</t>
    </rPh>
    <phoneticPr fontId="2"/>
  </si>
  <si>
    <t>土地所有者一覧表</t>
    <rPh sb="0" eb="2">
      <t>トチ</t>
    </rPh>
    <rPh sb="2" eb="5">
      <t>ショユウシャ</t>
    </rPh>
    <rPh sb="5" eb="7">
      <t>イチラン</t>
    </rPh>
    <rPh sb="7" eb="8">
      <t>ヒョウ</t>
    </rPh>
    <phoneticPr fontId="2"/>
  </si>
  <si>
    <t>全部事項証明書</t>
    <rPh sb="0" eb="2">
      <t>ゼンブ</t>
    </rPh>
    <rPh sb="2" eb="4">
      <t>ジコウ</t>
    </rPh>
    <rPh sb="4" eb="7">
      <t>ショウメイショ</t>
    </rPh>
    <phoneticPr fontId="2"/>
  </si>
  <si>
    <t>登記完了証、地積測量図</t>
    <rPh sb="0" eb="2">
      <t>トウキ</t>
    </rPh>
    <rPh sb="2" eb="4">
      <t>カンリョウ</t>
    </rPh>
    <rPh sb="4" eb="5">
      <t>ショウ</t>
    </rPh>
    <rPh sb="6" eb="8">
      <t>チセキ</t>
    </rPh>
    <rPh sb="8" eb="11">
      <t>ソクリョウズ</t>
    </rPh>
    <phoneticPr fontId="2"/>
  </si>
  <si>
    <t>案内図</t>
    <rPh sb="0" eb="3">
      <t>アンナイズ</t>
    </rPh>
    <phoneticPr fontId="2"/>
  </si>
  <si>
    <t>有効宅地求積図</t>
    <rPh sb="0" eb="2">
      <t>ユウコウ</t>
    </rPh>
    <rPh sb="2" eb="4">
      <t>タクチ</t>
    </rPh>
    <rPh sb="4" eb="5">
      <t>キュウ</t>
    </rPh>
    <rPh sb="5" eb="6">
      <t>セキ</t>
    </rPh>
    <rPh sb="6" eb="7">
      <t>ズ</t>
    </rPh>
    <phoneticPr fontId="2"/>
  </si>
  <si>
    <t>土地家屋調査士法人玉川測量設計</t>
    <rPh sb="0" eb="2">
      <t>トチ</t>
    </rPh>
    <rPh sb="2" eb="4">
      <t>カオク</t>
    </rPh>
    <rPh sb="4" eb="7">
      <t>チョウサシ</t>
    </rPh>
    <rPh sb="7" eb="9">
      <t>ホウジン</t>
    </rPh>
    <rPh sb="9" eb="11">
      <t>タマガワ</t>
    </rPh>
    <rPh sb="11" eb="13">
      <t>ソクリョウ</t>
    </rPh>
    <rPh sb="13" eb="15">
      <t>セッケイ</t>
    </rPh>
    <phoneticPr fontId="2"/>
  </si>
  <si>
    <t>地積測量図</t>
    <rPh sb="0" eb="2">
      <t>チセキ</t>
    </rPh>
    <rPh sb="2" eb="4">
      <t>ソクリョウ</t>
    </rPh>
    <rPh sb="4" eb="5">
      <t>ズ</t>
    </rPh>
    <phoneticPr fontId="2"/>
  </si>
  <si>
    <t>03-6421-8433</t>
    <phoneticPr fontId="2"/>
  </si>
  <si>
    <t>03-6421-8434</t>
    <phoneticPr fontId="2"/>
  </si>
  <si>
    <t>訪問履歴</t>
    <rPh sb="0" eb="2">
      <t>ホウモン</t>
    </rPh>
    <rPh sb="2" eb="4">
      <t>リレキ</t>
    </rPh>
    <phoneticPr fontId="2"/>
  </si>
  <si>
    <r>
      <t xml:space="preserve">経過記録表　　　　　　　　　　　　　　　　　　　　　　　      </t>
    </r>
    <r>
      <rPr>
        <sz val="11"/>
        <rFont val="ＭＳ Ｐ明朝"/>
        <family val="1"/>
        <charset val="128"/>
      </rPr>
      <t>測量期日＿＿＿＿＿　　決済日＿＿＿＿＿　測量目的　売買・相続・建替・その他（　　　　　　　）</t>
    </r>
    <rPh sb="0" eb="2">
      <t>ケイカ</t>
    </rPh>
    <rPh sb="2" eb="5">
      <t>キロクヒョウ</t>
    </rPh>
    <rPh sb="34" eb="36">
      <t>ソクリョウ</t>
    </rPh>
    <rPh sb="36" eb="38">
      <t>キジツ</t>
    </rPh>
    <rPh sb="45" eb="48">
      <t>ケッサイビ</t>
    </rPh>
    <rPh sb="54" eb="56">
      <t>ソクリョウ</t>
    </rPh>
    <rPh sb="56" eb="58">
      <t>モクテキ</t>
    </rPh>
    <rPh sb="59" eb="61">
      <t>バイバイ</t>
    </rPh>
    <rPh sb="62" eb="64">
      <t>ソウゾク</t>
    </rPh>
    <rPh sb="65" eb="66">
      <t>タ</t>
    </rPh>
    <rPh sb="66" eb="67">
      <t>カ</t>
    </rPh>
    <rPh sb="70" eb="71">
      <t>タ</t>
    </rPh>
    <phoneticPr fontId="2"/>
  </si>
  <si>
    <t>今回、関連書類を同封させていただきましたので、ご確認のほどお願い申し上げます。
尚、お立ち会いの日程をご相談させていただきたいと思いますので、お手数ですが、実務取扱者までご連絡いただけますと幸いです。</t>
    <rPh sb="0" eb="2">
      <t>コンカイ</t>
    </rPh>
    <rPh sb="3" eb="5">
      <t>カンレン</t>
    </rPh>
    <rPh sb="5" eb="7">
      <t>ショルイ</t>
    </rPh>
    <rPh sb="8" eb="10">
      <t>ドウフウ</t>
    </rPh>
    <rPh sb="24" eb="26">
      <t>カクニン</t>
    </rPh>
    <rPh sb="30" eb="31">
      <t>ネガ</t>
    </rPh>
    <rPh sb="32" eb="33">
      <t>モウ</t>
    </rPh>
    <rPh sb="34" eb="35">
      <t>ア</t>
    </rPh>
    <rPh sb="40" eb="41">
      <t>ナオ</t>
    </rPh>
    <rPh sb="43" eb="44">
      <t>タ</t>
    </rPh>
    <rPh sb="45" eb="46">
      <t>ア</t>
    </rPh>
    <rPh sb="48" eb="50">
      <t>ニッテイ</t>
    </rPh>
    <rPh sb="52" eb="54">
      <t>ソウダン</t>
    </rPh>
    <rPh sb="64" eb="65">
      <t>オモ</t>
    </rPh>
    <rPh sb="72" eb="74">
      <t>テスウ</t>
    </rPh>
    <rPh sb="78" eb="80">
      <t>ジツム</t>
    </rPh>
    <rPh sb="80" eb="83">
      <t>トリアツカイシャ</t>
    </rPh>
    <rPh sb="86" eb="88">
      <t>レンラク</t>
    </rPh>
    <rPh sb="95" eb="96">
      <t>サイワ</t>
    </rPh>
    <phoneticPr fontId="2"/>
  </si>
  <si>
    <t>土地使用承諾書</t>
    <rPh sb="0" eb="2">
      <t>トチ</t>
    </rPh>
    <rPh sb="2" eb="4">
      <t>シヨウ</t>
    </rPh>
    <rPh sb="4" eb="7">
      <t>ショウダクショ</t>
    </rPh>
    <phoneticPr fontId="2"/>
  </si>
  <si>
    <t>TEL　03-6421-8433 FAX　03-6421-8434</t>
    <phoneticPr fontId="2"/>
  </si>
  <si>
    <t>令和１８年７月１３日現在
東京法務局港出張所</t>
    <rPh sb="4" eb="5">
      <t>ネン</t>
    </rPh>
    <rPh sb="6" eb="7">
      <t>ガツ</t>
    </rPh>
    <rPh sb="9" eb="10">
      <t>ニチ</t>
    </rPh>
    <rPh sb="10" eb="12">
      <t>ゲンザイ</t>
    </rPh>
    <rPh sb="13" eb="15">
      <t>トウキョウ</t>
    </rPh>
    <rPh sb="15" eb="18">
      <t>ホウムキョク</t>
    </rPh>
    <rPh sb="18" eb="19">
      <t>ミナト</t>
    </rPh>
    <rPh sb="19" eb="22">
      <t>シュッチョウジョ</t>
    </rPh>
    <phoneticPr fontId="2"/>
  </si>
  <si>
    <t>令和　　　年　　　月　　　日</t>
    <rPh sb="5" eb="6">
      <t>ネン</t>
    </rPh>
    <rPh sb="9" eb="10">
      <t>ガツ</t>
    </rPh>
    <rPh sb="13" eb="14">
      <t>ニチ</t>
    </rPh>
    <phoneticPr fontId="2"/>
  </si>
  <si>
    <t>４２番９所有者藤江彰子様との立会を令和１９年５月３１日AM１０：３０より予定しておりますのでお時間がございましたら参加いただけますと幸いです。</t>
    <rPh sb="2" eb="3">
      <t>バン</t>
    </rPh>
    <rPh sb="4" eb="7">
      <t>ショユウシャ</t>
    </rPh>
    <rPh sb="7" eb="9">
      <t>フジエ</t>
    </rPh>
    <rPh sb="9" eb="11">
      <t>アキコ</t>
    </rPh>
    <rPh sb="11" eb="12">
      <t>サマ</t>
    </rPh>
    <rPh sb="14" eb="16">
      <t>タチアイ</t>
    </rPh>
    <rPh sb="21" eb="22">
      <t>ネン</t>
    </rPh>
    <rPh sb="23" eb="24">
      <t>ガツ</t>
    </rPh>
    <rPh sb="26" eb="27">
      <t>ニチ</t>
    </rPh>
    <rPh sb="36" eb="38">
      <t>ヨテイ</t>
    </rPh>
    <rPh sb="47" eb="49">
      <t>ジカン</t>
    </rPh>
    <rPh sb="57" eb="59">
      <t>サンカ</t>
    </rPh>
    <rPh sb="66" eb="67">
      <t>サイワ</t>
    </rPh>
    <phoneticPr fontId="2"/>
  </si>
  <si>
    <t>令和１８年</t>
    <rPh sb="4" eb="5">
      <t>ネン</t>
    </rPh>
    <phoneticPr fontId="2"/>
  </si>
  <si>
    <t>令和　　年</t>
    <rPh sb="4" eb="5">
      <t>ネン</t>
    </rPh>
    <phoneticPr fontId="2"/>
  </si>
  <si>
    <t>令和１６年</t>
    <rPh sb="4" eb="5">
      <t>ネン</t>
    </rPh>
    <phoneticPr fontId="2"/>
  </si>
  <si>
    <t>令和１７年</t>
    <rPh sb="4" eb="5">
      <t>ネン</t>
    </rPh>
    <phoneticPr fontId="2"/>
  </si>
  <si>
    <t>E-mail:</t>
    <phoneticPr fontId="2"/>
  </si>
  <si>
    <t>saso@tamasoku.com</t>
    <phoneticPr fontId="2"/>
  </si>
  <si>
    <t>email:</t>
    <phoneticPr fontId="2"/>
  </si>
  <si>
    <t>saso@tamasoku.com</t>
    <phoneticPr fontId="2"/>
  </si>
  <si>
    <t>何卒ご協力の程よろしくお願いいたします。</t>
    <rPh sb="0" eb="2">
      <t>ナニトゾ</t>
    </rPh>
    <rPh sb="3" eb="5">
      <t>キョウリョク</t>
    </rPh>
    <rPh sb="6" eb="7">
      <t>ホド</t>
    </rPh>
    <rPh sb="12" eb="13">
      <t>ネガ</t>
    </rPh>
    <phoneticPr fontId="2"/>
  </si>
  <si>
    <t>特にご説明等が不要で、ご承諾いただけます場合は、大変お手数ですが、同封の私道通行掘削承諾書に署名押印いただき、ご返送いただけますと幸いです。</t>
    <rPh sb="0" eb="1">
      <t>トク</t>
    </rPh>
    <rPh sb="3" eb="6">
      <t>セツメイトウ</t>
    </rPh>
    <rPh sb="7" eb="9">
      <t>フヨウ</t>
    </rPh>
    <rPh sb="12" eb="14">
      <t>ショウダク</t>
    </rPh>
    <rPh sb="20" eb="22">
      <t>バアイ</t>
    </rPh>
    <rPh sb="24" eb="26">
      <t>タイヘン</t>
    </rPh>
    <rPh sb="27" eb="29">
      <t>テスウ</t>
    </rPh>
    <rPh sb="33" eb="35">
      <t>ドウフウ</t>
    </rPh>
    <rPh sb="36" eb="38">
      <t>シドウ</t>
    </rPh>
    <rPh sb="38" eb="40">
      <t>ツウコウ</t>
    </rPh>
    <rPh sb="40" eb="42">
      <t>クッサク</t>
    </rPh>
    <rPh sb="42" eb="45">
      <t>ショウダクショ</t>
    </rPh>
    <rPh sb="46" eb="48">
      <t>ショメイ</t>
    </rPh>
    <rPh sb="48" eb="50">
      <t>オウイン</t>
    </rPh>
    <rPh sb="56" eb="58">
      <t>ヘンソウ</t>
    </rPh>
    <rPh sb="65" eb="66">
      <t>サイワ</t>
    </rPh>
    <phoneticPr fontId="2"/>
  </si>
  <si>
    <t>内容について、ご説明させていただきたいと思いますので、お忙しいところ大変お手数ですがご連絡をいただけますと幸いです。</t>
    <rPh sb="0" eb="2">
      <t>ナイヨウ</t>
    </rPh>
    <rPh sb="8" eb="10">
      <t>セツメイ</t>
    </rPh>
    <rPh sb="20" eb="21">
      <t>オモ</t>
    </rPh>
    <rPh sb="28" eb="29">
      <t>イソガ</t>
    </rPh>
    <rPh sb="34" eb="36">
      <t>タイヘン</t>
    </rPh>
    <rPh sb="37" eb="39">
      <t>テスウ</t>
    </rPh>
    <rPh sb="43" eb="45">
      <t>レンラク</t>
    </rPh>
    <rPh sb="53" eb="54">
      <t>サイワ</t>
    </rPh>
    <phoneticPr fontId="2"/>
  </si>
  <si>
    <t>私道掘削・通行等承諾についてのお願い</t>
    <rPh sb="0" eb="2">
      <t>シドウ</t>
    </rPh>
    <rPh sb="2" eb="4">
      <t>クッサク</t>
    </rPh>
    <rPh sb="5" eb="7">
      <t>ツウコウ</t>
    </rPh>
    <rPh sb="7" eb="8">
      <t>トウ</t>
    </rPh>
    <rPh sb="8" eb="10">
      <t>ショウダク</t>
    </rPh>
    <rPh sb="16" eb="17">
      <t>ネガ</t>
    </rPh>
    <phoneticPr fontId="2"/>
  </si>
  <si>
    <t>この度、下記土地所有者である第一ホーム様より、隣地土地所有者の方々に、境界立会並びに境界確認書の取交わし、私道の通行掘削承諾書の取得をお願いしたいとの依頼を受けました。</t>
    <rPh sb="2" eb="3">
      <t>タビ</t>
    </rPh>
    <rPh sb="4" eb="6">
      <t>カキ</t>
    </rPh>
    <rPh sb="6" eb="8">
      <t>トチ</t>
    </rPh>
    <rPh sb="8" eb="11">
      <t>ショユウシャ</t>
    </rPh>
    <rPh sb="14" eb="16">
      <t>ダイイチ</t>
    </rPh>
    <rPh sb="19" eb="20">
      <t>サマ</t>
    </rPh>
    <rPh sb="20" eb="21">
      <t>ワヨウ</t>
    </rPh>
    <rPh sb="23" eb="25">
      <t>リンチ</t>
    </rPh>
    <rPh sb="25" eb="27">
      <t>トチ</t>
    </rPh>
    <rPh sb="27" eb="30">
      <t>ショユウシャ</t>
    </rPh>
    <rPh sb="31" eb="33">
      <t>カタガタ</t>
    </rPh>
    <rPh sb="35" eb="37">
      <t>キョウカイ</t>
    </rPh>
    <rPh sb="37" eb="39">
      <t>タチアイ</t>
    </rPh>
    <rPh sb="39" eb="40">
      <t>ナラ</t>
    </rPh>
    <rPh sb="42" eb="44">
      <t>キョウカイ</t>
    </rPh>
    <rPh sb="44" eb="47">
      <t>カクニンショ</t>
    </rPh>
    <rPh sb="48" eb="49">
      <t>ト</t>
    </rPh>
    <rPh sb="49" eb="50">
      <t>カ</t>
    </rPh>
    <rPh sb="53" eb="55">
      <t>シドウ</t>
    </rPh>
    <rPh sb="56" eb="58">
      <t>ツウコウ</t>
    </rPh>
    <rPh sb="58" eb="60">
      <t>クッサク</t>
    </rPh>
    <rPh sb="60" eb="63">
      <t>ショウダクショ</t>
    </rPh>
    <rPh sb="64" eb="66">
      <t>シュトク</t>
    </rPh>
    <rPh sb="68" eb="69">
      <t>ネガ</t>
    </rPh>
    <rPh sb="75" eb="77">
      <t>イライ</t>
    </rPh>
    <rPh sb="78" eb="79">
      <t>ウ</t>
    </rPh>
    <phoneticPr fontId="2"/>
  </si>
  <si>
    <t>櫻井様におかれましては、私道の通行と掘削の承諾書をお願いしたくご連絡致しました。
書面でのご案内となり大変申し訳ございません。</t>
    <rPh sb="0" eb="3">
      <t>サクライサマ</t>
    </rPh>
    <rPh sb="12" eb="14">
      <t>シドウ</t>
    </rPh>
    <rPh sb="15" eb="17">
      <t>ツウコウ</t>
    </rPh>
    <rPh sb="18" eb="20">
      <t>クッサク</t>
    </rPh>
    <rPh sb="21" eb="24">
      <t>ショウダクショ</t>
    </rPh>
    <rPh sb="26" eb="27">
      <t>ネガ</t>
    </rPh>
    <rPh sb="32" eb="34">
      <t>レンラク</t>
    </rPh>
    <rPh sb="34" eb="35">
      <t>イタ</t>
    </rPh>
    <rPh sb="41" eb="43">
      <t>ショメン</t>
    </rPh>
    <rPh sb="46" eb="48">
      <t>アンナイ</t>
    </rPh>
    <rPh sb="51" eb="53">
      <t>タイヘン</t>
    </rPh>
    <rPh sb="53" eb="54">
      <t>モウ</t>
    </rPh>
    <rPh sb="55" eb="56">
      <t>ワケ</t>
    </rPh>
    <phoneticPr fontId="2"/>
  </si>
  <si>
    <t>測量箇所</t>
    <rPh sb="0" eb="2">
      <t>ソクリョウ</t>
    </rPh>
    <rPh sb="2" eb="4">
      <t>カショ</t>
    </rPh>
    <phoneticPr fontId="2"/>
  </si>
  <si>
    <t>〒152-0032</t>
    <phoneticPr fontId="2"/>
  </si>
  <si>
    <t>〒152-0032　東京都目黒区平町1-21-9ミラドール都立大2階</t>
    <phoneticPr fontId="2"/>
  </si>
  <si>
    <t>東京都目黒区平町1-21-9ミラドール都立大2階</t>
    <rPh sb="0" eb="3">
      <t>トウキョウト</t>
    </rPh>
    <rPh sb="3" eb="6">
      <t>メグロク</t>
    </rPh>
    <rPh sb="6" eb="7">
      <t>タイラ</t>
    </rPh>
    <rPh sb="7" eb="8">
      <t>マチ</t>
    </rPh>
    <rPh sb="19" eb="22">
      <t>トリツダイ</t>
    </rPh>
    <rPh sb="23" eb="24">
      <t>カイ</t>
    </rPh>
    <phoneticPr fontId="2"/>
  </si>
  <si>
    <t>登記原因</t>
    <rPh sb="0" eb="4">
      <t>トウキゲンイン</t>
    </rPh>
    <phoneticPr fontId="2"/>
  </si>
  <si>
    <t>目黒区洗足二丁目１３５１番９</t>
  </si>
  <si>
    <t>目黒区洗足二丁目１３５１番４</t>
  </si>
  <si>
    <t>目黒区洗足二丁目１３５１番１１</t>
  </si>
  <si>
    <t>株式会社リプロコミュニティー</t>
  </si>
  <si>
    <t>１３５１番４</t>
  </si>
  <si>
    <t>大田区田園調布本町29番10</t>
    <rPh sb="0" eb="3">
      <t>オオタク</t>
    </rPh>
    <rPh sb="3" eb="7">
      <t>デンエンチョウフ</t>
    </rPh>
    <rPh sb="7" eb="9">
      <t>ホンチョウ</t>
    </rPh>
    <rPh sb="11" eb="12">
      <t>バン</t>
    </rPh>
    <phoneticPr fontId="2"/>
  </si>
  <si>
    <t>大田区田園調布本町29番11</t>
    <rPh sb="0" eb="3">
      <t>オオタク</t>
    </rPh>
    <rPh sb="3" eb="7">
      <t>デンエンチョウフ</t>
    </rPh>
    <rPh sb="7" eb="9">
      <t>ホンチョウ</t>
    </rPh>
    <rPh sb="11" eb="12">
      <t>バン</t>
    </rPh>
    <phoneticPr fontId="2"/>
  </si>
  <si>
    <t>申請地</t>
    <rPh sb="0" eb="2">
      <t>シンセイ</t>
    </rPh>
    <rPh sb="2" eb="3">
      <t>チ</t>
    </rPh>
    <phoneticPr fontId="2"/>
  </si>
  <si>
    <t>隣接地</t>
    <rPh sb="0" eb="2">
      <t>リンセツ</t>
    </rPh>
    <rPh sb="2" eb="3">
      <t>チ</t>
    </rPh>
    <phoneticPr fontId="2"/>
  </si>
  <si>
    <t>調査・作成者氏名　岡藤央樹　　印</t>
    <rPh sb="0" eb="2">
      <t>チョウサ</t>
    </rPh>
    <rPh sb="3" eb="6">
      <t>サクセイシャ</t>
    </rPh>
    <rPh sb="6" eb="8">
      <t>シメイ</t>
    </rPh>
    <rPh sb="9" eb="11">
      <t>オカフジ</t>
    </rPh>
    <rPh sb="11" eb="13">
      <t>ヒロキ</t>
    </rPh>
    <rPh sb="15" eb="16">
      <t>イン</t>
    </rPh>
    <phoneticPr fontId="2"/>
  </si>
  <si>
    <t>登記
年月日</t>
    <rPh sb="0" eb="2">
      <t>トウキ</t>
    </rPh>
    <rPh sb="3" eb="6">
      <t>ネンガッピ</t>
    </rPh>
    <phoneticPr fontId="2"/>
  </si>
  <si>
    <t>土地登記簿の住所</t>
    <rPh sb="0" eb="2">
      <t>トチ</t>
    </rPh>
    <rPh sb="2" eb="5">
      <t>トウキボ</t>
    </rPh>
    <rPh sb="6" eb="8">
      <t>ジュウショ</t>
    </rPh>
    <phoneticPr fontId="2"/>
  </si>
  <si>
    <t>土地登記記録上の住所</t>
    <rPh sb="0" eb="4">
      <t>トチトウキ</t>
    </rPh>
    <rPh sb="4" eb="7">
      <t>キロクジョウ</t>
    </rPh>
    <rPh sb="8" eb="10">
      <t>ジュウショ</t>
    </rPh>
    <phoneticPr fontId="2"/>
  </si>
  <si>
    <t>登記事項証明書(土地)等の住所</t>
    <rPh sb="0" eb="7">
      <t>トウキジコウショウメイショ</t>
    </rPh>
    <rPh sb="8" eb="10">
      <t>トチ</t>
    </rPh>
    <rPh sb="11" eb="12">
      <t>ナド</t>
    </rPh>
    <rPh sb="13" eb="15">
      <t>ジュウショ</t>
    </rPh>
    <phoneticPr fontId="2"/>
  </si>
  <si>
    <t>住民登録の住所</t>
    <rPh sb="0" eb="2">
      <t>ジュウミン</t>
    </rPh>
    <rPh sb="2" eb="4">
      <t>トウロク</t>
    </rPh>
    <rPh sb="5" eb="7">
      <t>ジュウショ</t>
    </rPh>
    <phoneticPr fontId="2"/>
  </si>
  <si>
    <t>所有者</t>
    <rPh sb="0" eb="3">
      <t>ショユウシャ</t>
    </rPh>
    <phoneticPr fontId="2"/>
  </si>
  <si>
    <t>登記事項証明書等の住所</t>
    <rPh sb="0" eb="8">
      <t>トウキジコウショウメイショトウ</t>
    </rPh>
    <rPh sb="9" eb="11">
      <t>ジュウショ</t>
    </rPh>
    <phoneticPr fontId="2"/>
  </si>
  <si>
    <t>土　地　所　有　者　調　書 ・ 立　会　同　意　確　認　書</t>
    <rPh sb="0" eb="1">
      <t>ツチ</t>
    </rPh>
    <rPh sb="2" eb="3">
      <t>チ</t>
    </rPh>
    <rPh sb="4" eb="5">
      <t>ショ</t>
    </rPh>
    <rPh sb="6" eb="7">
      <t>ユウ</t>
    </rPh>
    <rPh sb="8" eb="9">
      <t>シャ</t>
    </rPh>
    <rPh sb="10" eb="11">
      <t>チョウ</t>
    </rPh>
    <rPh sb="12" eb="13">
      <t>ショ</t>
    </rPh>
    <rPh sb="16" eb="17">
      <t>タテ</t>
    </rPh>
    <rPh sb="18" eb="19">
      <t>カイ</t>
    </rPh>
    <rPh sb="20" eb="21">
      <t>ドウ</t>
    </rPh>
    <rPh sb="22" eb="23">
      <t>イ</t>
    </rPh>
    <rPh sb="24" eb="25">
      <t>アキラ</t>
    </rPh>
    <rPh sb="26" eb="27">
      <t>シノブ</t>
    </rPh>
    <rPh sb="28" eb="29">
      <t>ショ</t>
    </rPh>
    <phoneticPr fontId="2"/>
  </si>
  <si>
    <t>所有者氏名</t>
    <rPh sb="0" eb="3">
      <t>ショユウシャ</t>
    </rPh>
    <rPh sb="3" eb="4">
      <t>シ</t>
    </rPh>
    <rPh sb="4" eb="5">
      <t>メイ</t>
    </rPh>
    <phoneticPr fontId="2"/>
  </si>
  <si>
    <t>登記事項証明書
上の住所</t>
    <rPh sb="0" eb="2">
      <t>トウキ</t>
    </rPh>
    <rPh sb="2" eb="4">
      <t>ジコウ</t>
    </rPh>
    <rPh sb="4" eb="7">
      <t>ショウメイショ</t>
    </rPh>
    <rPh sb="8" eb="9">
      <t>ジョウ</t>
    </rPh>
    <rPh sb="10" eb="12">
      <t>ジュウショ</t>
    </rPh>
    <phoneticPr fontId="2"/>
  </si>
  <si>
    <t>立会同意
の有無</t>
    <rPh sb="0" eb="2">
      <t>タチアイ</t>
    </rPh>
    <rPh sb="2" eb="4">
      <t>ドウイ</t>
    </rPh>
    <rPh sb="6" eb="8">
      <t>ウム</t>
    </rPh>
    <phoneticPr fontId="2"/>
  </si>
  <si>
    <t>地積
(㎡)</t>
    <rPh sb="0" eb="2">
      <t>チセキ</t>
    </rPh>
    <phoneticPr fontId="2"/>
  </si>
  <si>
    <t>登記事項の住所</t>
    <rPh sb="0" eb="4">
      <t>トウキジコウ</t>
    </rPh>
    <rPh sb="5" eb="7">
      <t>ジュウショ</t>
    </rPh>
    <phoneticPr fontId="2"/>
  </si>
  <si>
    <t>現在の住所</t>
    <rPh sb="0" eb="2">
      <t>ゲンザイ</t>
    </rPh>
    <rPh sb="3" eb="5">
      <t>ジュウショ</t>
    </rPh>
    <phoneticPr fontId="2"/>
  </si>
  <si>
    <t>土地登記簿上の住所</t>
    <rPh sb="0" eb="2">
      <t>トチ</t>
    </rPh>
    <rPh sb="2" eb="5">
      <t>トウキボ</t>
    </rPh>
    <rPh sb="5" eb="6">
      <t>ジョウ</t>
    </rPh>
    <rPh sb="7" eb="9">
      <t>ジュウショ</t>
    </rPh>
    <phoneticPr fontId="2"/>
  </si>
  <si>
    <t>土　地　所　有　者　一　覧　表</t>
    <rPh sb="0" eb="1">
      <t>ツチ</t>
    </rPh>
    <rPh sb="2" eb="3">
      <t>チ</t>
    </rPh>
    <rPh sb="4" eb="5">
      <t>ショ</t>
    </rPh>
    <rPh sb="6" eb="7">
      <t>ユウ</t>
    </rPh>
    <rPh sb="8" eb="9">
      <t>シャ</t>
    </rPh>
    <rPh sb="10" eb="11">
      <t>イチ</t>
    </rPh>
    <rPh sb="12" eb="13">
      <t>ラン</t>
    </rPh>
    <rPh sb="14" eb="15">
      <t>ヒョウ</t>
    </rPh>
    <phoneticPr fontId="2"/>
  </si>
  <si>
    <t>土地の所在
（地番）</t>
    <rPh sb="0" eb="2">
      <t>トチ</t>
    </rPh>
    <rPh sb="3" eb="5">
      <t>ショザイ</t>
    </rPh>
    <rPh sb="7" eb="9">
      <t>チバン</t>
    </rPh>
    <phoneticPr fontId="2"/>
  </si>
  <si>
    <t>地積㎡</t>
    <rPh sb="0" eb="2">
      <t>チセキ</t>
    </rPh>
    <phoneticPr fontId="2"/>
  </si>
  <si>
    <t>土地所有者名</t>
    <rPh sb="0" eb="2">
      <t>トチ</t>
    </rPh>
    <rPh sb="2" eb="5">
      <t>ショユウシャ</t>
    </rPh>
    <rPh sb="5" eb="6">
      <t>メイ</t>
    </rPh>
    <phoneticPr fontId="2"/>
  </si>
  <si>
    <t>登記事項証明書の住所</t>
    <rPh sb="0" eb="2">
      <t>トウキ</t>
    </rPh>
    <rPh sb="2" eb="4">
      <t>ジコウ</t>
    </rPh>
    <rPh sb="4" eb="7">
      <t>ショウメイショ</t>
    </rPh>
    <rPh sb="8" eb="10">
      <t>ジュウショ</t>
    </rPh>
    <phoneticPr fontId="2"/>
  </si>
  <si>
    <t>現住所</t>
    <rPh sb="0" eb="3">
      <t>ゲンジュウショジュウショ</t>
    </rPh>
    <phoneticPr fontId="2"/>
  </si>
  <si>
    <t>調査者氏名　　岡藤　央樹</t>
    <rPh sb="0" eb="2">
      <t>チョウサ</t>
    </rPh>
    <rPh sb="2" eb="3">
      <t>シャ</t>
    </rPh>
    <rPh sb="3" eb="5">
      <t>シメイ</t>
    </rPh>
    <rPh sb="7" eb="9">
      <t>オカフジ</t>
    </rPh>
    <rPh sb="10" eb="12">
      <t>ヒロキ</t>
    </rPh>
    <phoneticPr fontId="2"/>
  </si>
  <si>
    <t>登記原因
その年月日</t>
    <rPh sb="0" eb="4">
      <t>トウキゲンイン</t>
    </rPh>
    <rPh sb="7" eb="10">
      <t>ネンガッピ</t>
    </rPh>
    <phoneticPr fontId="2"/>
  </si>
  <si>
    <t>様式２</t>
    <rPh sb="0" eb="2">
      <t>ヨウシキ</t>
    </rPh>
    <phoneticPr fontId="2"/>
  </si>
  <si>
    <t>地積
（㎡）</t>
    <rPh sb="0" eb="2">
      <t>チセキ</t>
    </rPh>
    <phoneticPr fontId="2"/>
  </si>
  <si>
    <t>取得の原因
及び年月日</t>
    <rPh sb="0" eb="2">
      <t>シュトク</t>
    </rPh>
    <rPh sb="3" eb="5">
      <t>ゲンイン</t>
    </rPh>
    <rPh sb="6" eb="7">
      <t>オヨ</t>
    </rPh>
    <rPh sb="8" eb="11">
      <t>ネンガッピ</t>
    </rPh>
    <phoneticPr fontId="2"/>
  </si>
  <si>
    <t>不動産登記簿上の住所</t>
    <rPh sb="0" eb="3">
      <t>フドウサン</t>
    </rPh>
    <rPh sb="3" eb="7">
      <t>トウキボジョウ</t>
    </rPh>
    <rPh sb="8" eb="10">
      <t>ジュウショ</t>
    </rPh>
    <phoneticPr fontId="2"/>
  </si>
  <si>
    <t>住民登録の住所</t>
    <rPh sb="0" eb="4">
      <t>ジュウミントウロク</t>
    </rPh>
    <rPh sb="5" eb="7">
      <t>ジュウショ</t>
    </rPh>
    <phoneticPr fontId="2"/>
  </si>
  <si>
    <r>
      <rPr>
        <sz val="11"/>
        <rFont val="HGSｺﾞｼｯｸM"/>
        <family val="3"/>
        <charset val="128"/>
      </rPr>
      <t>　　　　　　　　　　　　　　　　　　　　　　　　　　　</t>
    </r>
    <r>
      <rPr>
        <u/>
        <sz val="11"/>
        <rFont val="HGSｺﾞｼｯｸM"/>
        <family val="3"/>
        <charset val="128"/>
      </rPr>
      <t>調査年月日：令和　　　年　　　月　　　日</t>
    </r>
    <rPh sb="27" eb="29">
      <t>チョウサ</t>
    </rPh>
    <rPh sb="29" eb="32">
      <t>ネンガッピ</t>
    </rPh>
    <rPh sb="33" eb="35">
      <t>レイワ</t>
    </rPh>
    <rPh sb="38" eb="39">
      <t>ネン</t>
    </rPh>
    <rPh sb="42" eb="43">
      <t>ガツ</t>
    </rPh>
    <rPh sb="46" eb="47">
      <t>ニチ</t>
    </rPh>
    <phoneticPr fontId="2"/>
  </si>
  <si>
    <r>
      <rPr>
        <sz val="11"/>
        <rFont val="HGSｺﾞｼｯｸM"/>
        <family val="3"/>
        <charset val="128"/>
      </rPr>
      <t>　　　　　　　　　　　　　　　　　　　　　　　　　　　</t>
    </r>
    <r>
      <rPr>
        <u/>
        <sz val="11"/>
        <rFont val="HGSｺﾞｼｯｸM"/>
        <family val="3"/>
        <charset val="128"/>
      </rPr>
      <t>作成者氏名　　　　　　　　　　　　　　印</t>
    </r>
    <rPh sb="27" eb="32">
      <t>サクセイシャシメイ</t>
    </rPh>
    <rPh sb="46" eb="47">
      <t>イン</t>
    </rPh>
    <phoneticPr fontId="2"/>
  </si>
  <si>
    <t>（注１）本調書は、申請に必要な隣接土地の登記事項証明書の添付を省略する場合に必ず作成</t>
    <rPh sb="1" eb="2">
      <t>チュウ</t>
    </rPh>
    <rPh sb="4" eb="7">
      <t>ホンチョウショ</t>
    </rPh>
    <rPh sb="9" eb="11">
      <t>シンセイ</t>
    </rPh>
    <rPh sb="12" eb="14">
      <t>ヒツヨウ</t>
    </rPh>
    <rPh sb="15" eb="19">
      <t>リンセツトチ</t>
    </rPh>
    <rPh sb="20" eb="27">
      <t>トウキジコウショウメイショ</t>
    </rPh>
    <rPh sb="28" eb="30">
      <t>テンプ</t>
    </rPh>
    <rPh sb="31" eb="33">
      <t>ショウリャク</t>
    </rPh>
    <rPh sb="35" eb="37">
      <t>バアイ</t>
    </rPh>
    <rPh sb="38" eb="39">
      <t>カナラ</t>
    </rPh>
    <rPh sb="40" eb="42">
      <t>サクセイ</t>
    </rPh>
    <phoneticPr fontId="2"/>
  </si>
  <si>
    <t>　　　してください。</t>
    <phoneticPr fontId="2"/>
  </si>
  <si>
    <t>（注２）本調書は、土地家屋調査士等が作成し作成印を押印してください。</t>
    <rPh sb="1" eb="2">
      <t>チュウ</t>
    </rPh>
    <rPh sb="4" eb="7">
      <t>ホンチョウショ</t>
    </rPh>
    <rPh sb="9" eb="16">
      <t>トチカオクチョウサシ</t>
    </rPh>
    <rPh sb="16" eb="17">
      <t>ナド</t>
    </rPh>
    <rPh sb="18" eb="20">
      <t>サクセイ</t>
    </rPh>
    <rPh sb="21" eb="23">
      <t>サクセイ</t>
    </rPh>
    <rPh sb="23" eb="24">
      <t>イン</t>
    </rPh>
    <rPh sb="25" eb="27">
      <t>オウイン</t>
    </rPh>
    <phoneticPr fontId="2"/>
  </si>
  <si>
    <t>（注３）本調書は、境界確定を行おうとする旧法定外公共物等に隣接する土地（点接地を含む</t>
    <rPh sb="1" eb="2">
      <t>チュウ</t>
    </rPh>
    <rPh sb="4" eb="7">
      <t>ホンチョウショ</t>
    </rPh>
    <rPh sb="9" eb="13">
      <t>キョウカイカクテイ</t>
    </rPh>
    <rPh sb="14" eb="15">
      <t>オコナ</t>
    </rPh>
    <rPh sb="20" eb="24">
      <t>キュウホウテイガイ</t>
    </rPh>
    <rPh sb="24" eb="27">
      <t>コウキョウブツ</t>
    </rPh>
    <rPh sb="27" eb="28">
      <t>トウ</t>
    </rPh>
    <rPh sb="29" eb="31">
      <t>リンセツ</t>
    </rPh>
    <rPh sb="33" eb="35">
      <t>トチ</t>
    </rPh>
    <rPh sb="36" eb="37">
      <t>テン</t>
    </rPh>
    <rPh sb="37" eb="39">
      <t>セッチ</t>
    </rPh>
    <rPh sb="40" eb="41">
      <t>フク</t>
    </rPh>
    <phoneticPr fontId="2"/>
  </si>
  <si>
    <t>　　　。）全てを記載し、申請者は最上段に記入してください。</t>
    <rPh sb="8" eb="10">
      <t>キサイ</t>
    </rPh>
    <rPh sb="12" eb="15">
      <t>シンセイシャ</t>
    </rPh>
    <rPh sb="16" eb="19">
      <t>サイジョウダン</t>
    </rPh>
    <rPh sb="20" eb="22">
      <t>キニュウ</t>
    </rPh>
    <phoneticPr fontId="2"/>
  </si>
  <si>
    <t>土 地 登 記 簿 調 書</t>
    <rPh sb="0" eb="1">
      <t>ツチ</t>
    </rPh>
    <rPh sb="2" eb="3">
      <t>チ</t>
    </rPh>
    <rPh sb="4" eb="5">
      <t>トウ</t>
    </rPh>
    <rPh sb="6" eb="7">
      <t>キ</t>
    </rPh>
    <rPh sb="8" eb="9">
      <t>ボ</t>
    </rPh>
    <rPh sb="10" eb="11">
      <t>チョウ</t>
    </rPh>
    <rPh sb="12" eb="13">
      <t>ショ</t>
    </rPh>
    <phoneticPr fontId="2"/>
  </si>
  <si>
    <t>地積　㎡</t>
    <rPh sb="0" eb="2">
      <t>チセキ</t>
    </rPh>
    <phoneticPr fontId="2"/>
  </si>
  <si>
    <t>所 有 者 の 住 所</t>
    <rPh sb="0" eb="1">
      <t>トコロ</t>
    </rPh>
    <rPh sb="2" eb="3">
      <t>ユウ</t>
    </rPh>
    <rPh sb="4" eb="5">
      <t>シャ</t>
    </rPh>
    <rPh sb="8" eb="9">
      <t>ジュウ</t>
    </rPh>
    <rPh sb="10" eb="11">
      <t>ショ</t>
    </rPh>
    <phoneticPr fontId="2"/>
  </si>
  <si>
    <t>所有者の氏名</t>
    <rPh sb="0" eb="3">
      <t>ショユウシャ</t>
    </rPh>
    <rPh sb="4" eb="6">
      <t>シメイ</t>
    </rPh>
    <rPh sb="5" eb="6">
      <t>メイ</t>
    </rPh>
    <phoneticPr fontId="2"/>
  </si>
  <si>
    <t>摘　要</t>
    <rPh sb="0" eb="1">
      <t>テキ</t>
    </rPh>
    <rPh sb="2" eb="3">
      <t>ヨウ</t>
    </rPh>
    <phoneticPr fontId="2"/>
  </si>
  <si>
    <t>東京法務局</t>
    <rPh sb="0" eb="2">
      <t>トウキョウ</t>
    </rPh>
    <rPh sb="2" eb="5">
      <t>ホウムキョク</t>
    </rPh>
    <phoneticPr fontId="2"/>
  </si>
  <si>
    <t>東京法務局板橋出張所</t>
    <rPh sb="0" eb="2">
      <t>トウキョウ</t>
    </rPh>
    <rPh sb="2" eb="5">
      <t>ホウムキョク</t>
    </rPh>
    <rPh sb="5" eb="7">
      <t>イタバシ</t>
    </rPh>
    <rPh sb="7" eb="10">
      <t>シュッチョウジョ</t>
    </rPh>
    <phoneticPr fontId="2"/>
  </si>
  <si>
    <t>東京法務局江戸川出張所</t>
    <rPh sb="5" eb="8">
      <t>エドガワ</t>
    </rPh>
    <rPh sb="8" eb="11">
      <t>シュッチョウジョ</t>
    </rPh>
    <phoneticPr fontId="2"/>
  </si>
  <si>
    <t>東京法務局北出張所</t>
    <rPh sb="5" eb="9">
      <t>キタシュッチョウジョ</t>
    </rPh>
    <phoneticPr fontId="2"/>
  </si>
  <si>
    <t>東京法務局品川出張所</t>
    <rPh sb="5" eb="10">
      <t>シナガワシュッチョウジョ</t>
    </rPh>
    <phoneticPr fontId="2"/>
  </si>
  <si>
    <t>東京法務局渋谷出張所</t>
    <rPh sb="5" eb="7">
      <t>シブヤ</t>
    </rPh>
    <rPh sb="7" eb="10">
      <t>シュッチョウジョ</t>
    </rPh>
    <phoneticPr fontId="2"/>
  </si>
  <si>
    <t>東京法務局城南出張所</t>
    <rPh sb="5" eb="7">
      <t>ジョウナン</t>
    </rPh>
    <rPh sb="7" eb="10">
      <t>シュッチョウジョ</t>
    </rPh>
    <phoneticPr fontId="2"/>
  </si>
  <si>
    <t>東京法務局城北出張所</t>
    <rPh sb="5" eb="7">
      <t>ジョウホク</t>
    </rPh>
    <rPh sb="7" eb="10">
      <t>シュッチョウジョ</t>
    </rPh>
    <phoneticPr fontId="2"/>
  </si>
  <si>
    <t>東京法務局杉並出張所</t>
    <rPh sb="5" eb="7">
      <t>スギナミ</t>
    </rPh>
    <rPh sb="7" eb="10">
      <t>シュッチョウジョ</t>
    </rPh>
    <phoneticPr fontId="2"/>
  </si>
  <si>
    <t>東京法務局新宿出張所</t>
    <rPh sb="5" eb="7">
      <t>シンジュク</t>
    </rPh>
    <rPh sb="7" eb="10">
      <t>シュッチョウジョ</t>
    </rPh>
    <phoneticPr fontId="2"/>
  </si>
  <si>
    <t>東京法務局隅田出張所</t>
    <rPh sb="5" eb="7">
      <t>スミダ</t>
    </rPh>
    <rPh sb="7" eb="10">
      <t>シュッチョウジョ</t>
    </rPh>
    <phoneticPr fontId="2"/>
  </si>
  <si>
    <t>東京法務局世田谷出張所</t>
    <rPh sb="5" eb="8">
      <t>セタガヤ</t>
    </rPh>
    <rPh sb="8" eb="11">
      <t>シュッチョウジョ</t>
    </rPh>
    <phoneticPr fontId="2"/>
  </si>
  <si>
    <t>東京法務局台東出張所</t>
    <rPh sb="5" eb="7">
      <t>タイトウ</t>
    </rPh>
    <rPh sb="7" eb="10">
      <t>シュッチョウジョ</t>
    </rPh>
    <phoneticPr fontId="2"/>
  </si>
  <si>
    <t>東京法務局立川出張所</t>
    <rPh sb="5" eb="7">
      <t>タチカワ</t>
    </rPh>
    <rPh sb="7" eb="10">
      <t>シュッチョウジョ</t>
    </rPh>
    <phoneticPr fontId="2"/>
  </si>
  <si>
    <t>東京法務局田無出張所</t>
    <rPh sb="5" eb="7">
      <t>タナシ</t>
    </rPh>
    <rPh sb="7" eb="10">
      <t>シュッチョウジョ</t>
    </rPh>
    <phoneticPr fontId="2"/>
  </si>
  <si>
    <t>東京法務局豊島出張所</t>
    <rPh sb="5" eb="7">
      <t>トシマ</t>
    </rPh>
    <rPh sb="7" eb="10">
      <t>シュッチョウジョ</t>
    </rPh>
    <phoneticPr fontId="2"/>
  </si>
  <si>
    <t>東京法務局中野出張所</t>
    <rPh sb="5" eb="7">
      <t>ナカノ</t>
    </rPh>
    <rPh sb="7" eb="10">
      <t>シュッチョウジョ</t>
    </rPh>
    <phoneticPr fontId="2"/>
  </si>
  <si>
    <t>東京法務局西多摩支局</t>
    <rPh sb="5" eb="8">
      <t>ニシタマ</t>
    </rPh>
    <rPh sb="8" eb="10">
      <t>シキョク</t>
    </rPh>
    <phoneticPr fontId="2"/>
  </si>
  <si>
    <t>東京法務局練馬出張所</t>
    <rPh sb="5" eb="7">
      <t>ネリマ</t>
    </rPh>
    <rPh sb="7" eb="10">
      <t>シュッチョウジョ</t>
    </rPh>
    <phoneticPr fontId="2"/>
  </si>
  <si>
    <t>東京法務局八王子支局</t>
    <rPh sb="5" eb="8">
      <t>ハチオウジ</t>
    </rPh>
    <rPh sb="8" eb="10">
      <t>シキョク</t>
    </rPh>
    <phoneticPr fontId="2"/>
  </si>
  <si>
    <t>東京法務局府中支局</t>
    <rPh sb="5" eb="7">
      <t>フチュウ</t>
    </rPh>
    <rPh sb="7" eb="9">
      <t>シキョク</t>
    </rPh>
    <phoneticPr fontId="2"/>
  </si>
  <si>
    <t>東京法務局町田出張所</t>
    <rPh sb="5" eb="7">
      <t>マチダ</t>
    </rPh>
    <rPh sb="7" eb="10">
      <t>シュッチョウジョ</t>
    </rPh>
    <phoneticPr fontId="2"/>
  </si>
  <si>
    <t>東京法務局港出張所</t>
    <rPh sb="5" eb="6">
      <t>ミナト</t>
    </rPh>
    <rPh sb="6" eb="9">
      <t>シュッチョウジョ</t>
    </rPh>
    <phoneticPr fontId="2"/>
  </si>
  <si>
    <t>横浜地方法務局</t>
    <rPh sb="0" eb="7">
      <t>ヨコハマチホウホウムキョク</t>
    </rPh>
    <phoneticPr fontId="2"/>
  </si>
  <si>
    <t>横浜地方法務局神奈川出張所</t>
    <rPh sb="0" eb="7">
      <t>ヨコハマチホウホウムキョク</t>
    </rPh>
    <rPh sb="7" eb="13">
      <t>カナガワシュッチョウジョ</t>
    </rPh>
    <phoneticPr fontId="2"/>
  </si>
  <si>
    <t>横浜地方法務局青葉出張所</t>
    <rPh sb="0" eb="7">
      <t>ヨコハマチホウホウムキョク</t>
    </rPh>
    <rPh sb="7" eb="9">
      <t>アオバ</t>
    </rPh>
    <rPh sb="9" eb="12">
      <t>シュッチョウジョ</t>
    </rPh>
    <phoneticPr fontId="2"/>
  </si>
  <si>
    <t>横浜地方法務局港北出張所</t>
    <rPh sb="0" eb="7">
      <t>ヨコハマチホウホウムキョク</t>
    </rPh>
    <rPh sb="7" eb="9">
      <t>コウホク</t>
    </rPh>
    <rPh sb="9" eb="12">
      <t>シュッチョウジョ</t>
    </rPh>
    <phoneticPr fontId="2"/>
  </si>
  <si>
    <t>横浜地方法務局戸塚出張所</t>
    <rPh sb="0" eb="7">
      <t>ヨコハマチホウホウムキョク</t>
    </rPh>
    <rPh sb="7" eb="9">
      <t>トツカ</t>
    </rPh>
    <rPh sb="9" eb="12">
      <t>シュッチョウジョ</t>
    </rPh>
    <phoneticPr fontId="2"/>
  </si>
  <si>
    <t>横浜地方法務局栄出張所</t>
    <rPh sb="0" eb="7">
      <t>ヨコハマチホウホウムキョク</t>
    </rPh>
    <rPh sb="7" eb="8">
      <t>サカエ</t>
    </rPh>
    <rPh sb="8" eb="11">
      <t>シュッチョウジョ</t>
    </rPh>
    <phoneticPr fontId="2"/>
  </si>
  <si>
    <t>横浜地方法務局旭出張所</t>
    <rPh sb="0" eb="7">
      <t>ヨコハマチホウホウムキョク</t>
    </rPh>
    <rPh sb="7" eb="8">
      <t>アサヒ</t>
    </rPh>
    <rPh sb="8" eb="11">
      <t>シュッチョウジョ</t>
    </rPh>
    <phoneticPr fontId="2"/>
  </si>
  <si>
    <t>横浜地方法務局湘南支局</t>
    <rPh sb="0" eb="7">
      <t>ヨコハマチホウホウムキョク</t>
    </rPh>
    <rPh sb="7" eb="9">
      <t>ショウナン</t>
    </rPh>
    <rPh sb="9" eb="11">
      <t>シキョク</t>
    </rPh>
    <phoneticPr fontId="2"/>
  </si>
  <si>
    <t>横浜地方法務局川崎支局</t>
    <rPh sb="0" eb="7">
      <t>ヨコハマチホウホウムキョク</t>
    </rPh>
    <rPh sb="7" eb="9">
      <t>カワサキ</t>
    </rPh>
    <rPh sb="9" eb="11">
      <t>シキョク</t>
    </rPh>
    <phoneticPr fontId="2"/>
  </si>
  <si>
    <t>横浜地方法務局麻生出張所</t>
    <rPh sb="0" eb="7">
      <t>ヨコハマチホウホウムキョク</t>
    </rPh>
    <rPh sb="7" eb="9">
      <t>アサオ</t>
    </rPh>
    <rPh sb="9" eb="12">
      <t>シュッチョウジョ</t>
    </rPh>
    <phoneticPr fontId="2"/>
  </si>
  <si>
    <t>横浜地方法務局横須賀支局</t>
    <rPh sb="0" eb="7">
      <t>ヨコハマチホウホウムキョク</t>
    </rPh>
    <rPh sb="7" eb="10">
      <t>ヨコスカ</t>
    </rPh>
    <rPh sb="10" eb="12">
      <t>シキョク</t>
    </rPh>
    <phoneticPr fontId="2"/>
  </si>
  <si>
    <t>横浜地方法務局西湘二宮支局</t>
    <rPh sb="0" eb="7">
      <t>ヨコハマチホウホウムキョク</t>
    </rPh>
    <rPh sb="7" eb="11">
      <t>セイショウニノミヤ</t>
    </rPh>
    <rPh sb="11" eb="13">
      <t>シキョク</t>
    </rPh>
    <phoneticPr fontId="2"/>
  </si>
  <si>
    <t>横浜地方法務局厚木支局</t>
    <rPh sb="0" eb="7">
      <t>ヨコハマチホウホウムキョク</t>
    </rPh>
    <rPh sb="7" eb="9">
      <t>アツギ</t>
    </rPh>
    <rPh sb="9" eb="11">
      <t>シキョク</t>
    </rPh>
    <phoneticPr fontId="2"/>
  </si>
  <si>
    <t>横浜地方法務局大和出張所</t>
    <rPh sb="0" eb="7">
      <t>ヨコハマチホウホウムキョク</t>
    </rPh>
    <rPh sb="7" eb="9">
      <t>ヤマト</t>
    </rPh>
    <rPh sb="9" eb="12">
      <t>シュッチョウジョ</t>
    </rPh>
    <phoneticPr fontId="2"/>
  </si>
  <si>
    <t>横浜地方法務局相模原支局</t>
    <rPh sb="0" eb="7">
      <t>ヨコハマチホウホウムキョク</t>
    </rPh>
    <rPh sb="7" eb="10">
      <t>サガミハラ</t>
    </rPh>
    <rPh sb="10" eb="12">
      <t>シキョク</t>
    </rPh>
    <phoneticPr fontId="2"/>
  </si>
  <si>
    <t>調査者名　　　　土地家屋調査士　岡藤央樹　　　印　</t>
    <phoneticPr fontId="2"/>
  </si>
  <si>
    <t>調査者名　　　　土地家屋調査士　笹生昌史　　   印　</t>
    <rPh sb="16" eb="18">
      <t>サソウ</t>
    </rPh>
    <rPh sb="18" eb="20">
      <t>マサシ</t>
    </rPh>
    <phoneticPr fontId="2"/>
  </si>
  <si>
    <t>調査者名　　　　土地家屋調査士　岡藤央樹　　　印　</t>
  </si>
  <si>
    <t>調査・作成者氏名　岡藤央樹　　印</t>
    <phoneticPr fontId="2"/>
  </si>
  <si>
    <t>調査・作成者氏名　笹生昌史　　印</t>
    <rPh sb="9" eb="11">
      <t>サソウ</t>
    </rPh>
    <rPh sb="11" eb="13">
      <t>マサシ</t>
    </rPh>
    <phoneticPr fontId="2"/>
  </si>
  <si>
    <t>調査者氏名　　岡藤　央樹</t>
  </si>
  <si>
    <t>調査者氏名　　笹生　昌史</t>
    <rPh sb="7" eb="9">
      <t>サソウ</t>
    </rPh>
    <rPh sb="10" eb="12">
      <t>マサシ</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</si>
</sst>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411]ggge&quot;年&quot;m&quot;月&quot;d&quot;日&quot;;@"/>
    <numFmt numFmtId="177" formatCode="0.00_ "/>
    <numFmt numFmtId="178" formatCode="m&quot;月&quot;d&quot;日&quot;;@"/>
    <numFmt numFmtId="179" formatCode="0_ &quot;部&quot;"/>
    <numFmt numFmtId="180" formatCode="0&quot; ･･･&quot;"/>
    <numFmt numFmtId="181" formatCode="[$-411]&quot;調査年月日　　&quot;ggge&quot;年&quot;m&quot;月&quot;d&quot;日&quot;;@"/>
    <numFmt numFmtId="182" formatCode="[$-411]ggge&quot;年&quot;m&quot;月吉日&quot;;@"/>
    <numFmt numFmtId="183" formatCode="[$]ggge&quot;年&quot;m&quot;月&quot;d&quot;日&quot;;@" x16r2:formatCode16="[$-ja-JP-x-gannen]ggge&quot;年&quot;m&quot;月&quot;d&quot;日&quot;;@"/>
    <numFmt numFmtId="184" formatCode="[$-411]ge\.m\.d;@"/>
    <numFmt numFmtId="185" formatCode="[$-411]&quot;調査年月日　　　　　　　　　　　　&quot;ggge&quot;年&quot;m&quot;月&quot;d&quot;日&quot;;@\ "/>
    <numFmt numFmtId="186" formatCode="[$-411]&quot;調査年月日　　　　　　　　&quot;ggge&quot;年&quot;m&quot;月&quot;d&quot;日&quot;;@"/>
    <numFmt numFmtId="187" formatCode="[$-411]ggge&quot;年&quot;m&quot;月&quot;d&quot;日&quot;&quot;現&quot;&quot;在&quot;"/>
  </numFmts>
  <fonts count="38" x14ac:knownFonts="1">
    <font>
      <sz val="11"/>
      <name val="ＭＳ Ｐゴシック"/>
      <family val="3"/>
      <charset val="128"/>
    </font>
    <font>
      <sz val="11"/>
      <name val="ＭＳ Ｐゴシック"/>
      <family val="3"/>
      <charset val="128"/>
    </font>
    <font>
      <sz val="6"/>
      <name val="ＭＳ Ｐゴシック"/>
      <family val="3"/>
      <charset val="128"/>
    </font>
    <font>
      <sz val="11"/>
      <name val="ＭＳ 明朝"/>
      <family val="1"/>
      <charset val="128"/>
    </font>
    <font>
      <sz val="16"/>
      <name val="ＭＳ 明朝"/>
      <family val="1"/>
      <charset val="128"/>
    </font>
    <font>
      <sz val="14"/>
      <name val="ＭＳ Ｐゴシック"/>
      <family val="3"/>
      <charset val="128"/>
    </font>
    <font>
      <sz val="14"/>
      <name val="ＭＳ Ｐ明朝"/>
      <family val="1"/>
      <charset val="128"/>
    </font>
    <font>
      <sz val="11"/>
      <name val="ＭＳ Ｐ明朝"/>
      <family val="1"/>
      <charset val="128"/>
    </font>
    <font>
      <sz val="12"/>
      <name val="ＭＳ Ｐゴシック"/>
      <family val="3"/>
      <charset val="128"/>
    </font>
    <font>
      <b/>
      <u/>
      <sz val="11"/>
      <name val="ＭＳ Ｐゴシック"/>
      <family val="3"/>
      <charset val="128"/>
    </font>
    <font>
      <b/>
      <u/>
      <sz val="14"/>
      <name val="ＭＳ Ｐゴシック"/>
      <family val="3"/>
      <charset val="128"/>
    </font>
    <font>
      <sz val="9"/>
      <name val="ＭＳ 明朝"/>
      <family val="1"/>
      <charset val="128"/>
    </font>
    <font>
      <sz val="11"/>
      <color indexed="9"/>
      <name val="ＭＳ 明朝"/>
      <family val="1"/>
      <charset val="128"/>
    </font>
    <font>
      <b/>
      <sz val="20"/>
      <color indexed="10"/>
      <name val="ＭＳ 明朝"/>
      <family val="1"/>
      <charset val="128"/>
    </font>
    <font>
      <sz val="9"/>
      <color indexed="10"/>
      <name val="HG正楷書体-PRO"/>
      <family val="4"/>
      <charset val="128"/>
    </font>
    <font>
      <sz val="9"/>
      <color indexed="10"/>
      <name val="ＭＳ 明朝"/>
      <family val="1"/>
      <charset val="128"/>
    </font>
    <font>
      <sz val="16"/>
      <name val="ＭＳ Ｐゴシック"/>
      <family val="3"/>
      <charset val="128"/>
    </font>
    <font>
      <sz val="11"/>
      <color indexed="13"/>
      <name val="ＭＳ Ｐゴシック"/>
      <family val="3"/>
      <charset val="128"/>
    </font>
    <font>
      <sz val="9"/>
      <name val="ＭＳ Ｐ明朝"/>
      <family val="1"/>
      <charset val="128"/>
    </font>
    <font>
      <sz val="16"/>
      <name val="HGｺﾞｼｯｸM"/>
      <family val="3"/>
      <charset val="128"/>
    </font>
    <font>
      <sz val="10"/>
      <name val="HGｺﾞｼｯｸM"/>
      <family val="3"/>
      <charset val="128"/>
    </font>
    <font>
      <sz val="11"/>
      <name val="HGｺﾞｼｯｸM"/>
      <family val="3"/>
      <charset val="128"/>
    </font>
    <font>
      <b/>
      <sz val="24"/>
      <name val="HGｺﾞｼｯｸM"/>
      <family val="3"/>
      <charset val="128"/>
    </font>
    <font>
      <b/>
      <sz val="20"/>
      <name val="HGｺﾞｼｯｸM"/>
      <family val="3"/>
      <charset val="128"/>
    </font>
    <font>
      <sz val="12"/>
      <name val="HGｺﾞｼｯｸM"/>
      <family val="3"/>
      <charset val="128"/>
    </font>
    <font>
      <sz val="14"/>
      <name val="HGｺﾞｼｯｸM"/>
      <family val="3"/>
      <charset val="128"/>
    </font>
    <font>
      <sz val="9"/>
      <color rgb="FF002060"/>
      <name val="HG正楷書体-PRO"/>
      <family val="4"/>
      <charset val="128"/>
    </font>
    <font>
      <sz val="11"/>
      <color rgb="FF002060"/>
      <name val="ＭＳ 明朝"/>
      <family val="1"/>
      <charset val="128"/>
    </font>
    <font>
      <sz val="9"/>
      <color rgb="FF002060"/>
      <name val="ＭＳ 明朝"/>
      <family val="1"/>
      <charset val="128"/>
    </font>
    <font>
      <sz val="11"/>
      <name val="HG教科書体"/>
      <family val="1"/>
      <charset val="128"/>
    </font>
    <font>
      <sz val="11"/>
      <name val="HGSｺﾞｼｯｸM"/>
      <family val="3"/>
      <charset val="128"/>
    </font>
    <font>
      <sz val="14"/>
      <name val="HGSｺﾞｼｯｸM"/>
      <family val="3"/>
      <charset val="128"/>
    </font>
    <font>
      <sz val="9"/>
      <name val="HGSｺﾞｼｯｸM"/>
      <family val="3"/>
      <charset val="128"/>
    </font>
    <font>
      <u/>
      <sz val="11"/>
      <name val="HGSｺﾞｼｯｸM"/>
      <family val="3"/>
      <charset val="128"/>
    </font>
    <font>
      <u/>
      <sz val="12"/>
      <name val="HGSｺﾞｼｯｸM"/>
      <family val="3"/>
      <charset val="128"/>
    </font>
    <font>
      <sz val="12"/>
      <name val="HGSｺﾞｼｯｸM"/>
      <family val="3"/>
      <charset val="128"/>
    </font>
    <font>
      <sz val="8"/>
      <name val="HGSｺﾞｼｯｸM"/>
      <family val="3"/>
      <charset val="128"/>
    </font>
    <font>
      <sz val="6"/>
      <name val="HGSｺﾞｼｯｸM"/>
      <family val="3"/>
      <charset val="128"/>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4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hair">
        <color auto="1"/>
      </left>
      <right/>
      <top/>
      <bottom/>
      <diagonal/>
    </border>
    <border>
      <left/>
      <right style="hair">
        <color indexed="64"/>
      </right>
      <top/>
      <bottom/>
      <diagonal/>
    </border>
    <border>
      <left style="hair">
        <color indexed="64"/>
      </left>
      <right style="thin">
        <color indexed="64"/>
      </right>
      <top/>
      <bottom/>
      <diagonal/>
    </border>
    <border>
      <left style="hair">
        <color auto="1"/>
      </left>
      <right/>
      <top/>
      <bottom style="hair">
        <color auto="1"/>
      </bottom>
      <diagonal/>
    </border>
    <border>
      <left/>
      <right style="hair">
        <color indexed="64"/>
      </right>
      <top/>
      <bottom style="hair">
        <color indexed="64"/>
      </bottom>
      <diagonal/>
    </border>
  </borders>
  <cellStyleXfs count="2">
    <xf numFmtId="0" fontId="0" fillId="0" borderId="0">
      <alignment vertical="center"/>
    </xf>
    <xf numFmtId="0" fontId="1" fillId="0" borderId="0"/>
  </cellStyleXfs>
  <cellXfs count="231">
    <xf numFmtId="0" fontId="0" fillId="0" borderId="0" xfId="0">
      <alignment vertical="center"/>
    </xf>
    <xf numFmtId="0" fontId="3" fillId="0" borderId="0" xfId="0" applyFont="1">
      <alignment vertical="center"/>
    </xf>
    <xf numFmtId="0" fontId="3" fillId="0" borderId="0" xfId="0" applyFont="1" applyAlignment="1">
      <alignment horizontal="left" vertical="center"/>
    </xf>
    <xf numFmtId="0" fontId="3" fillId="0" borderId="0" xfId="0" applyFont="1" applyAlignment="1">
      <alignment horizontal="center" vertical="center"/>
    </xf>
    <xf numFmtId="0" fontId="4" fillId="0" borderId="0" xfId="0" applyFont="1" applyAlignment="1">
      <alignment horizontal="center" vertical="center"/>
    </xf>
    <xf numFmtId="0" fontId="3" fillId="0" borderId="0" xfId="0" applyFont="1" applyAlignment="1">
      <alignment vertical="justify" wrapText="1"/>
    </xf>
    <xf numFmtId="0" fontId="0" fillId="0" borderId="0" xfId="0" applyAlignment="1">
      <alignment horizontal="left" vertical="center"/>
    </xf>
    <xf numFmtId="0" fontId="3" fillId="0" borderId="0" xfId="0" applyFont="1" applyAlignment="1">
      <alignment horizontal="left" vertical="center" indent="1"/>
    </xf>
    <xf numFmtId="0" fontId="5" fillId="0" borderId="0" xfId="0" applyFont="1">
      <alignment vertical="center"/>
    </xf>
    <xf numFmtId="0" fontId="7" fillId="0" borderId="0" xfId="0" applyFont="1">
      <alignment vertical="center"/>
    </xf>
    <xf numFmtId="0" fontId="0" fillId="0" borderId="8" xfId="0" applyBorder="1" applyAlignment="1">
      <alignment horizontal="center" vertical="center" wrapText="1"/>
    </xf>
    <xf numFmtId="0" fontId="0" fillId="0" borderId="0" xfId="0" applyAlignment="1">
      <alignment vertical="center" wrapText="1"/>
    </xf>
    <xf numFmtId="0" fontId="0" fillId="0" borderId="8" xfId="0" applyBorder="1" applyAlignment="1">
      <alignment horizontal="left" vertical="center" wrapText="1"/>
    </xf>
    <xf numFmtId="0" fontId="7" fillId="0" borderId="0" xfId="0" applyFont="1" applyAlignment="1">
      <alignment horizontal="center" vertical="center"/>
    </xf>
    <xf numFmtId="0" fontId="7" fillId="0" borderId="8" xfId="0" applyFont="1" applyBorder="1" applyAlignment="1">
      <alignment horizontal="center" vertical="center"/>
    </xf>
    <xf numFmtId="0" fontId="8" fillId="0" borderId="0" xfId="0" applyFont="1">
      <alignment vertical="center"/>
    </xf>
    <xf numFmtId="0" fontId="0" fillId="0" borderId="0" xfId="0" applyAlignment="1">
      <alignment horizontal="right" vertical="center"/>
    </xf>
    <xf numFmtId="0" fontId="0" fillId="0" borderId="0" xfId="0" applyAlignment="1">
      <alignment horizontal="center" vertical="center"/>
    </xf>
    <xf numFmtId="0" fontId="9" fillId="0" borderId="0" xfId="0" applyFont="1">
      <alignment vertical="center"/>
    </xf>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3" fillId="0" borderId="10" xfId="0" applyFont="1" applyBorder="1" applyAlignment="1">
      <alignment horizontal="center" vertical="center"/>
    </xf>
    <xf numFmtId="0" fontId="11" fillId="0" borderId="9" xfId="0" applyFont="1" applyBorder="1" applyAlignment="1">
      <alignment horizontal="center" vertical="center"/>
    </xf>
    <xf numFmtId="0" fontId="11" fillId="0" borderId="0" xfId="0" applyFont="1">
      <alignment vertical="center"/>
    </xf>
    <xf numFmtId="177" fontId="0" fillId="0" borderId="8" xfId="0" applyNumberFormat="1" applyBorder="1" applyAlignment="1">
      <alignment horizontal="left" vertical="center" wrapText="1"/>
    </xf>
    <xf numFmtId="0" fontId="7" fillId="0" borderId="8" xfId="0" applyFont="1" applyBorder="1" applyAlignment="1">
      <alignment horizontal="distributed" vertical="center" justifyLastLine="1"/>
    </xf>
    <xf numFmtId="0" fontId="7" fillId="0" borderId="8" xfId="0" applyFont="1" applyBorder="1" applyAlignment="1">
      <alignment vertical="center" wrapText="1"/>
    </xf>
    <xf numFmtId="0" fontId="12" fillId="0" borderId="0" xfId="0" applyFont="1">
      <alignment vertical="center"/>
    </xf>
    <xf numFmtId="0" fontId="6" fillId="0" borderId="0" xfId="0" applyFont="1" applyAlignment="1">
      <alignment horizontal="center" vertical="center"/>
    </xf>
    <xf numFmtId="177" fontId="7" fillId="0" borderId="8" xfId="0" applyNumberFormat="1" applyFont="1" applyBorder="1" applyAlignment="1">
      <alignment horizontal="right" vertical="center"/>
    </xf>
    <xf numFmtId="177" fontId="7" fillId="0" borderId="8" xfId="0" applyNumberFormat="1" applyFont="1" applyBorder="1" applyAlignment="1">
      <alignment horizontal="center" vertical="center" wrapText="1"/>
    </xf>
    <xf numFmtId="0" fontId="7" fillId="0" borderId="12" xfId="0" applyFont="1" applyBorder="1" applyAlignment="1">
      <alignment horizontal="distributed" vertical="center" justifyLastLine="1"/>
    </xf>
    <xf numFmtId="0" fontId="7" fillId="0" borderId="13" xfId="0" applyFont="1" applyBorder="1" applyAlignment="1">
      <alignment horizontal="distributed" vertical="center" justifyLastLine="1"/>
    </xf>
    <xf numFmtId="177" fontId="7" fillId="0" borderId="8" xfId="0" applyNumberFormat="1" applyFont="1" applyBorder="1" applyAlignment="1">
      <alignment horizontal="center" vertical="center" shrinkToFit="1"/>
    </xf>
    <xf numFmtId="0" fontId="0" fillId="0" borderId="8" xfId="0" applyBorder="1" applyAlignment="1">
      <alignment horizontal="center" vertical="center"/>
    </xf>
    <xf numFmtId="0" fontId="1" fillId="0" borderId="0" xfId="0" applyFont="1" applyAlignment="1">
      <alignment horizontal="left" vertical="top" textRotation="255" indent="1"/>
    </xf>
    <xf numFmtId="0" fontId="1" fillId="0" borderId="0" xfId="0" applyFont="1" applyAlignment="1">
      <alignment horizontal="center" vertical="center"/>
    </xf>
    <xf numFmtId="0" fontId="17" fillId="0" borderId="8" xfId="0" applyFont="1" applyBorder="1" applyAlignment="1">
      <alignment horizontal="left" vertical="center" wrapText="1"/>
    </xf>
    <xf numFmtId="0" fontId="3" fillId="0" borderId="8" xfId="0" applyFont="1" applyBorder="1" applyAlignment="1">
      <alignment horizontal="center" vertical="center"/>
    </xf>
    <xf numFmtId="0" fontId="11" fillId="0" borderId="8" xfId="0" applyFont="1" applyBorder="1" applyAlignment="1">
      <alignment horizontal="center" vertical="center" wrapText="1"/>
    </xf>
    <xf numFmtId="0" fontId="6" fillId="0" borderId="0" xfId="0" applyFont="1" applyAlignment="1">
      <alignment horizontal="distributed" vertical="center" justifyLastLine="1"/>
    </xf>
    <xf numFmtId="0" fontId="7" fillId="0" borderId="24" xfId="0" applyFont="1" applyBorder="1" applyAlignment="1">
      <alignment horizontal="distributed" vertical="center" justifyLastLine="1"/>
    </xf>
    <xf numFmtId="0" fontId="7" fillId="0" borderId="25" xfId="0" applyFont="1" applyBorder="1" applyAlignment="1">
      <alignment horizontal="center" vertical="center" wrapText="1"/>
    </xf>
    <xf numFmtId="0" fontId="7" fillId="0" borderId="26" xfId="0" applyFont="1" applyBorder="1" applyAlignment="1">
      <alignment horizontal="distributed" vertical="center" justifyLastLine="1"/>
    </xf>
    <xf numFmtId="0" fontId="7" fillId="0" borderId="27" xfId="0" applyFont="1" applyBorder="1" applyAlignment="1">
      <alignment horizontal="distributed" vertical="center" justifyLastLine="1"/>
    </xf>
    <xf numFmtId="177" fontId="7" fillId="0" borderId="26" xfId="0" applyNumberFormat="1" applyFont="1" applyBorder="1" applyAlignment="1">
      <alignment horizontal="center" vertical="center"/>
    </xf>
    <xf numFmtId="0" fontId="7" fillId="0" borderId="27" xfId="0" applyFont="1" applyBorder="1" applyAlignment="1">
      <alignment vertical="center" wrapText="1"/>
    </xf>
    <xf numFmtId="177" fontId="7" fillId="0" borderId="28" xfId="0" applyNumberFormat="1" applyFont="1" applyBorder="1" applyAlignment="1">
      <alignment horizontal="center" vertical="center"/>
    </xf>
    <xf numFmtId="177" fontId="7" fillId="0" borderId="29" xfId="0" applyNumberFormat="1" applyFont="1" applyBorder="1" applyAlignment="1">
      <alignment horizontal="center" vertical="center" shrinkToFit="1"/>
    </xf>
    <xf numFmtId="177" fontId="7" fillId="0" borderId="29" xfId="0" applyNumberFormat="1" applyFont="1" applyBorder="1" applyAlignment="1">
      <alignment horizontal="right" vertical="center"/>
    </xf>
    <xf numFmtId="177" fontId="7" fillId="0" borderId="29" xfId="0" applyNumberFormat="1" applyFont="1" applyBorder="1" applyAlignment="1">
      <alignment horizontal="center" vertical="center" wrapText="1"/>
    </xf>
    <xf numFmtId="0" fontId="7" fillId="0" borderId="30" xfId="0" applyFont="1" applyBorder="1" applyAlignment="1">
      <alignment vertical="center" wrapText="1"/>
    </xf>
    <xf numFmtId="177" fontId="7" fillId="0" borderId="12" xfId="0" applyNumberFormat="1" applyFont="1" applyBorder="1" applyAlignment="1">
      <alignment horizontal="center" vertical="center" shrinkToFit="1"/>
    </xf>
    <xf numFmtId="177" fontId="7" fillId="0" borderId="13" xfId="0" applyNumberFormat="1" applyFont="1" applyBorder="1" applyAlignment="1">
      <alignment horizontal="center" vertical="center" shrinkToFit="1"/>
    </xf>
    <xf numFmtId="177" fontId="7" fillId="0" borderId="8" xfId="0" applyNumberFormat="1" applyFont="1" applyBorder="1" applyAlignment="1">
      <alignment horizontal="right" vertical="center" shrinkToFit="1"/>
    </xf>
    <xf numFmtId="177" fontId="18" fillId="0" borderId="8" xfId="0" applyNumberFormat="1" applyFont="1" applyBorder="1" applyAlignment="1">
      <alignment horizontal="left" vertical="top" wrapText="1"/>
    </xf>
    <xf numFmtId="0" fontId="21" fillId="0" borderId="0" xfId="1" applyFont="1"/>
    <xf numFmtId="0" fontId="22" fillId="0" borderId="0" xfId="1" applyFont="1" applyAlignment="1">
      <alignment horizontal="center" vertical="center"/>
    </xf>
    <xf numFmtId="0" fontId="23" fillId="0" borderId="0" xfId="1" applyFont="1" applyAlignment="1">
      <alignment horizontal="center" vertical="center"/>
    </xf>
    <xf numFmtId="0" fontId="23" fillId="0" borderId="16" xfId="1" applyFont="1" applyBorder="1" applyAlignment="1">
      <alignment horizontal="center" vertical="center"/>
    </xf>
    <xf numFmtId="0" fontId="22" fillId="0" borderId="17" xfId="1" applyFont="1" applyBorder="1" applyAlignment="1">
      <alignment horizontal="center" vertical="center"/>
    </xf>
    <xf numFmtId="0" fontId="23" fillId="0" borderId="18" xfId="1" applyFont="1" applyBorder="1" applyAlignment="1">
      <alignment horizontal="center" vertical="center"/>
    </xf>
    <xf numFmtId="0" fontId="23" fillId="0" borderId="19" xfId="1" applyFont="1" applyBorder="1" applyAlignment="1">
      <alignment horizontal="center" vertical="center"/>
    </xf>
    <xf numFmtId="0" fontId="23" fillId="0" borderId="20" xfId="1" applyFont="1" applyBorder="1" applyAlignment="1">
      <alignment horizontal="center" vertical="center"/>
    </xf>
    <xf numFmtId="0" fontId="21" fillId="0" borderId="19" xfId="1" applyFont="1" applyBorder="1"/>
    <xf numFmtId="0" fontId="21" fillId="0" borderId="20" xfId="1" applyFont="1" applyBorder="1"/>
    <xf numFmtId="0" fontId="21" fillId="0" borderId="8" xfId="0" applyFont="1" applyBorder="1">
      <alignment vertical="center"/>
    </xf>
    <xf numFmtId="180" fontId="25" fillId="0" borderId="0" xfId="1" applyNumberFormat="1" applyFont="1" applyAlignment="1">
      <alignment horizontal="right"/>
    </xf>
    <xf numFmtId="179" fontId="25" fillId="0" borderId="0" xfId="1" applyNumberFormat="1" applyFont="1" applyAlignment="1">
      <alignment horizontal="center"/>
    </xf>
    <xf numFmtId="179" fontId="19" fillId="0" borderId="0" xfId="1" applyNumberFormat="1" applyFont="1" applyAlignment="1">
      <alignment horizontal="center"/>
    </xf>
    <xf numFmtId="179" fontId="21" fillId="0" borderId="0" xfId="1" applyNumberFormat="1" applyFont="1" applyAlignment="1">
      <alignment horizontal="center"/>
    </xf>
    <xf numFmtId="0" fontId="21" fillId="0" borderId="8" xfId="1" applyFont="1" applyBorder="1"/>
    <xf numFmtId="0" fontId="21" fillId="0" borderId="21" xfId="1" applyFont="1" applyBorder="1"/>
    <xf numFmtId="0" fontId="21" fillId="0" borderId="15" xfId="1" applyFont="1" applyBorder="1"/>
    <xf numFmtId="0" fontId="21" fillId="0" borderId="22" xfId="1" applyFont="1" applyBorder="1"/>
    <xf numFmtId="0" fontId="26" fillId="0" borderId="1" xfId="0" applyFont="1" applyBorder="1" applyAlignment="1">
      <alignment horizontal="left" vertical="center"/>
    </xf>
    <xf numFmtId="0" fontId="26" fillId="0" borderId="2" xfId="0" applyFont="1" applyBorder="1" applyAlignment="1">
      <alignment horizontal="center" vertical="center"/>
    </xf>
    <xf numFmtId="0" fontId="27" fillId="0" borderId="1" xfId="0" applyFont="1" applyBorder="1" applyAlignment="1">
      <alignment horizontal="center" vertical="center"/>
    </xf>
    <xf numFmtId="0" fontId="27" fillId="0" borderId="4" xfId="0" applyFont="1" applyBorder="1" applyAlignment="1">
      <alignment horizontal="center" vertical="center"/>
    </xf>
    <xf numFmtId="0" fontId="26" fillId="0" borderId="6" xfId="0" applyFont="1" applyBorder="1" applyAlignment="1">
      <alignment horizontal="left" vertical="center" indent="1"/>
    </xf>
    <xf numFmtId="0" fontId="26" fillId="0" borderId="14" xfId="0" applyFont="1" applyBorder="1" applyAlignment="1">
      <alignment horizontal="center" vertical="center"/>
    </xf>
    <xf numFmtId="178" fontId="27" fillId="0" borderId="6" xfId="0" applyNumberFormat="1" applyFont="1" applyBorder="1" applyAlignment="1">
      <alignment horizontal="center" vertical="center"/>
    </xf>
    <xf numFmtId="0" fontId="26" fillId="0" borderId="1" xfId="0" applyFont="1" applyBorder="1" applyAlignment="1">
      <alignment horizontal="left" vertical="center" indent="1"/>
    </xf>
    <xf numFmtId="0" fontId="26" fillId="0" borderId="3" xfId="0" applyFont="1" applyBorder="1">
      <alignment vertical="center"/>
    </xf>
    <xf numFmtId="0" fontId="26" fillId="0" borderId="7" xfId="0" applyFont="1" applyBorder="1" applyAlignment="1">
      <alignment horizontal="center" vertical="center"/>
    </xf>
    <xf numFmtId="0" fontId="28" fillId="0" borderId="0" xfId="0" applyFont="1">
      <alignment vertical="center"/>
    </xf>
    <xf numFmtId="0" fontId="27" fillId="0" borderId="0" xfId="0" applyFont="1">
      <alignment vertical="center"/>
    </xf>
    <xf numFmtId="0" fontId="0" fillId="0" borderId="36" xfId="0" applyBorder="1">
      <alignment vertical="center"/>
    </xf>
    <xf numFmtId="0" fontId="0" fillId="0" borderId="37" xfId="0" applyBorder="1">
      <alignment vertical="center"/>
    </xf>
    <xf numFmtId="0" fontId="0" fillId="0" borderId="38" xfId="0" applyBorder="1">
      <alignment vertical="center"/>
    </xf>
    <xf numFmtId="0" fontId="1" fillId="0" borderId="39" xfId="0" applyFont="1" applyBorder="1" applyAlignment="1">
      <alignment horizontal="center" vertical="center"/>
    </xf>
    <xf numFmtId="177" fontId="7" fillId="2" borderId="8" xfId="0" applyNumberFormat="1" applyFont="1" applyFill="1" applyBorder="1" applyAlignment="1">
      <alignment horizontal="center" vertical="center" shrinkToFit="1"/>
    </xf>
    <xf numFmtId="177" fontId="18" fillId="2" borderId="8" xfId="0" applyNumberFormat="1" applyFont="1" applyFill="1" applyBorder="1" applyAlignment="1">
      <alignment horizontal="left" vertical="top" wrapText="1"/>
    </xf>
    <xf numFmtId="0" fontId="7" fillId="2" borderId="8" xfId="0" applyFont="1" applyFill="1" applyBorder="1" applyAlignment="1">
      <alignment vertical="center" wrapText="1"/>
    </xf>
    <xf numFmtId="0" fontId="7" fillId="2" borderId="8" xfId="0" applyFont="1" applyFill="1" applyBorder="1" applyAlignment="1">
      <alignment horizontal="center" vertical="center"/>
    </xf>
    <xf numFmtId="0" fontId="7" fillId="2" borderId="0" xfId="0" applyFont="1" applyFill="1">
      <alignment vertical="center"/>
    </xf>
    <xf numFmtId="177" fontId="7" fillId="2" borderId="12" xfId="0" applyNumberFormat="1" applyFont="1" applyFill="1" applyBorder="1" applyAlignment="1">
      <alignment horizontal="center" vertical="center" shrinkToFit="1"/>
    </xf>
    <xf numFmtId="177" fontId="7" fillId="2" borderId="13" xfId="0" applyNumberFormat="1" applyFont="1" applyFill="1" applyBorder="1" applyAlignment="1">
      <alignment horizontal="center" vertical="center" shrinkToFit="1"/>
    </xf>
    <xf numFmtId="177" fontId="7" fillId="2" borderId="8" xfId="0" applyNumberFormat="1" applyFont="1" applyFill="1" applyBorder="1" applyAlignment="1">
      <alignment horizontal="right" vertical="center" shrinkToFit="1"/>
    </xf>
    <xf numFmtId="0" fontId="29" fillId="0" borderId="0" xfId="0" applyFont="1">
      <alignment vertical="center"/>
    </xf>
    <xf numFmtId="0" fontId="0" fillId="0" borderId="12" xfId="0" applyBorder="1">
      <alignment vertical="center"/>
    </xf>
    <xf numFmtId="0" fontId="0" fillId="0" borderId="31" xfId="0" applyBorder="1">
      <alignment vertical="center"/>
    </xf>
    <xf numFmtId="0" fontId="0" fillId="0" borderId="23" xfId="0" applyBorder="1">
      <alignment vertical="center"/>
    </xf>
    <xf numFmtId="0" fontId="0" fillId="0" borderId="12" xfId="0" applyBorder="1" applyAlignment="1">
      <alignment vertical="center" wrapText="1"/>
    </xf>
    <xf numFmtId="0" fontId="0" fillId="0" borderId="31" xfId="0" applyBorder="1" applyAlignment="1">
      <alignment vertical="center" wrapText="1"/>
    </xf>
    <xf numFmtId="0" fontId="0" fillId="0" borderId="23" xfId="0" applyBorder="1" applyAlignment="1">
      <alignment vertical="center" wrapText="1"/>
    </xf>
    <xf numFmtId="0" fontId="30" fillId="0" borderId="0" xfId="0" applyFont="1">
      <alignment vertical="center"/>
    </xf>
    <xf numFmtId="0" fontId="31" fillId="0" borderId="0" xfId="0" applyFont="1" applyAlignment="1">
      <alignment horizontal="center" vertical="center"/>
    </xf>
    <xf numFmtId="0" fontId="30" fillId="0" borderId="0" xfId="0" applyFont="1" applyAlignment="1">
      <alignment horizontal="center" vertical="center"/>
    </xf>
    <xf numFmtId="0" fontId="30" fillId="0" borderId="0" xfId="0" applyFont="1" applyAlignment="1">
      <alignment horizontal="right" vertical="center"/>
    </xf>
    <xf numFmtId="0" fontId="30" fillId="0" borderId="8" xfId="0" applyFont="1" applyBorder="1" applyAlignment="1">
      <alignment horizontal="distributed" vertical="center" justifyLastLine="1"/>
    </xf>
    <xf numFmtId="0" fontId="30" fillId="0" borderId="0" xfId="0" applyFont="1" applyAlignment="1">
      <alignment horizontal="distributed" vertical="center" justifyLastLine="1"/>
    </xf>
    <xf numFmtId="0" fontId="30" fillId="0" borderId="0" xfId="0" applyFont="1" applyAlignment="1">
      <alignment vertical="center" wrapText="1"/>
    </xf>
    <xf numFmtId="177" fontId="30" fillId="0" borderId="8" xfId="0" applyNumberFormat="1" applyFont="1" applyBorder="1" applyAlignment="1">
      <alignment horizontal="center" vertical="center" shrinkToFit="1"/>
    </xf>
    <xf numFmtId="177" fontId="30" fillId="0" borderId="8" xfId="0" applyNumberFormat="1" applyFont="1" applyBorder="1" applyAlignment="1">
      <alignment horizontal="center" vertical="center"/>
    </xf>
    <xf numFmtId="0" fontId="30" fillId="0" borderId="8" xfId="0" applyFont="1" applyBorder="1" applyAlignment="1">
      <alignment horizontal="center" vertical="center" shrinkToFit="1"/>
    </xf>
    <xf numFmtId="0" fontId="30" fillId="0" borderId="12" xfId="0" applyFont="1" applyBorder="1" applyAlignment="1">
      <alignment horizontal="distributed" vertical="center" justifyLastLine="1"/>
    </xf>
    <xf numFmtId="0" fontId="30" fillId="0" borderId="13" xfId="0" applyFont="1" applyBorder="1" applyAlignment="1">
      <alignment horizontal="distributed" vertical="center" justifyLastLine="1"/>
    </xf>
    <xf numFmtId="0" fontId="30" fillId="0" borderId="8" xfId="0" applyFont="1" applyBorder="1" applyAlignment="1">
      <alignment horizontal="left" vertical="center" wrapText="1" indent="2"/>
    </xf>
    <xf numFmtId="0" fontId="30" fillId="0" borderId="8" xfId="0" applyFont="1" applyBorder="1" applyAlignment="1">
      <alignment horizontal="left" vertical="center" wrapText="1" indent="1"/>
    </xf>
    <xf numFmtId="177" fontId="30" fillId="0" borderId="12" xfId="0" applyNumberFormat="1" applyFont="1" applyBorder="1" applyAlignment="1">
      <alignment horizontal="center" vertical="center"/>
    </xf>
    <xf numFmtId="177" fontId="30" fillId="0" borderId="13" xfId="0" applyNumberFormat="1" applyFont="1" applyBorder="1" applyAlignment="1">
      <alignment horizontal="center" vertical="center"/>
    </xf>
    <xf numFmtId="0" fontId="30" fillId="0" borderId="8" xfId="0" applyFont="1" applyBorder="1" applyAlignment="1">
      <alignment horizontal="center" vertical="center" wrapText="1"/>
    </xf>
    <xf numFmtId="0" fontId="30" fillId="0" borderId="8" xfId="0" applyFont="1" applyBorder="1" applyAlignment="1">
      <alignment vertical="center" wrapText="1"/>
    </xf>
    <xf numFmtId="0" fontId="30" fillId="0" borderId="8" xfId="0" applyFont="1" applyBorder="1" applyAlignment="1">
      <alignment horizontal="center" vertical="center"/>
    </xf>
    <xf numFmtId="0" fontId="30" fillId="0" borderId="0" xfId="0" applyFont="1" applyAlignment="1">
      <alignment horizontal="left" vertical="center" indent="1"/>
    </xf>
    <xf numFmtId="177" fontId="30" fillId="0" borderId="9" xfId="0" applyNumberFormat="1" applyFont="1" applyBorder="1" applyAlignment="1">
      <alignment horizontal="center" vertical="center" shrinkToFit="1"/>
    </xf>
    <xf numFmtId="177" fontId="30" fillId="0" borderId="11" xfId="0" applyNumberFormat="1" applyFont="1" applyBorder="1" applyAlignment="1">
      <alignment horizontal="center" vertical="center" shrinkToFit="1"/>
    </xf>
    <xf numFmtId="0" fontId="30" fillId="0" borderId="11" xfId="0" applyFont="1" applyBorder="1" applyAlignment="1">
      <alignment horizontal="center" vertical="center" shrinkToFit="1"/>
    </xf>
    <xf numFmtId="0" fontId="32" fillId="0" borderId="9" xfId="0" applyFont="1" applyBorder="1" applyAlignment="1">
      <alignment horizontal="center" vertical="center" shrinkToFit="1"/>
    </xf>
    <xf numFmtId="0" fontId="30" fillId="0" borderId="0" xfId="0" applyFont="1" applyAlignment="1">
      <alignment horizontal="left" vertical="center"/>
    </xf>
    <xf numFmtId="0" fontId="35" fillId="0" borderId="0" xfId="0" applyFont="1" applyAlignment="1">
      <alignment horizontal="left" vertical="center"/>
    </xf>
    <xf numFmtId="0" fontId="30" fillId="0" borderId="9" xfId="0" applyFont="1" applyBorder="1" applyAlignment="1">
      <alignment horizontal="center" vertical="center"/>
    </xf>
    <xf numFmtId="177" fontId="30" fillId="0" borderId="8" xfId="0" applyNumberFormat="1" applyFont="1" applyBorder="1" applyAlignment="1">
      <alignment horizontal="center" vertical="center" wrapText="1"/>
    </xf>
    <xf numFmtId="0" fontId="30" fillId="0" borderId="8" xfId="0" applyFont="1" applyBorder="1" applyAlignment="1">
      <alignment horizontal="left" vertical="top" shrinkToFit="1"/>
    </xf>
    <xf numFmtId="177" fontId="35" fillId="0" borderId="8" xfId="0" applyNumberFormat="1" applyFont="1" applyBorder="1" applyAlignment="1">
      <alignment horizontal="center" vertical="center" shrinkToFit="1"/>
    </xf>
    <xf numFmtId="177" fontId="37" fillId="0" borderId="13" xfId="0" applyNumberFormat="1" applyFont="1" applyBorder="1" applyAlignment="1">
      <alignment horizontal="center" vertical="center"/>
    </xf>
    <xf numFmtId="0" fontId="33" fillId="0" borderId="14" xfId="0" applyFont="1" applyBorder="1">
      <alignment vertical="center"/>
    </xf>
    <xf numFmtId="0" fontId="0" fillId="3" borderId="12" xfId="0" applyFill="1" applyBorder="1">
      <alignment vertical="center"/>
    </xf>
    <xf numFmtId="0" fontId="0" fillId="3" borderId="31" xfId="0" applyFill="1" applyBorder="1">
      <alignment vertical="center"/>
    </xf>
    <xf numFmtId="0" fontId="0" fillId="3" borderId="23" xfId="0" applyFill="1" applyBorder="1">
      <alignment vertical="center"/>
    </xf>
    <xf numFmtId="0" fontId="0" fillId="0" borderId="8" xfId="0" applyBorder="1" applyAlignment="1">
      <alignment horizontal="center" vertical="center" wrapText="1"/>
    </xf>
    <xf numFmtId="0" fontId="6" fillId="0" borderId="14" xfId="0" applyFont="1" applyBorder="1" applyAlignment="1">
      <alignment horizontal="left" vertical="center"/>
    </xf>
    <xf numFmtId="0" fontId="7" fillId="0" borderId="32" xfId="0" applyFont="1" applyBorder="1" applyAlignment="1">
      <alignment horizontal="left" vertical="center" indent="2"/>
    </xf>
    <xf numFmtId="0" fontId="7" fillId="0" borderId="33" xfId="0" applyFont="1" applyBorder="1" applyAlignment="1">
      <alignment horizontal="left" vertical="center" indent="2"/>
    </xf>
    <xf numFmtId="0" fontId="7" fillId="0" borderId="34" xfId="0" applyFont="1" applyBorder="1" applyAlignment="1">
      <alignment horizontal="left" vertical="center" indent="2"/>
    </xf>
    <xf numFmtId="0" fontId="6" fillId="0" borderId="15" xfId="0" applyFont="1" applyBorder="1" applyAlignment="1">
      <alignment horizontal="distributed" vertical="center" justifyLastLine="1"/>
    </xf>
    <xf numFmtId="0" fontId="31" fillId="0" borderId="0" xfId="0" applyFont="1" applyAlignment="1">
      <alignment horizontal="center" vertical="center"/>
    </xf>
    <xf numFmtId="0" fontId="30" fillId="0" borderId="8" xfId="0" applyFont="1" applyBorder="1" applyAlignment="1">
      <alignment horizontal="distributed" vertical="center" justifyLastLine="1"/>
    </xf>
    <xf numFmtId="0" fontId="30" fillId="0" borderId="8" xfId="0" applyFont="1" applyBorder="1" applyAlignment="1">
      <alignment horizontal="distributed" vertical="center" wrapText="1" justifyLastLine="1"/>
    </xf>
    <xf numFmtId="0" fontId="30" fillId="0" borderId="9" xfId="0" applyFont="1" applyBorder="1" applyAlignment="1">
      <alignment horizontal="center" vertical="center" shrinkToFit="1"/>
    </xf>
    <xf numFmtId="0" fontId="30" fillId="0" borderId="11" xfId="0" applyFont="1" applyBorder="1" applyAlignment="1">
      <alignment horizontal="center" vertical="center"/>
    </xf>
    <xf numFmtId="0" fontId="30" fillId="0" borderId="0" xfId="0" applyFont="1">
      <alignment vertical="center"/>
    </xf>
    <xf numFmtId="177" fontId="30" fillId="0" borderId="8" xfId="0" applyNumberFormat="1" applyFont="1" applyBorder="1" applyAlignment="1">
      <alignment horizontal="center" vertical="center" shrinkToFit="1"/>
    </xf>
    <xf numFmtId="177" fontId="32" fillId="0" borderId="8" xfId="0" applyNumberFormat="1" applyFont="1" applyBorder="1" applyAlignment="1">
      <alignment horizontal="center" vertical="center"/>
    </xf>
    <xf numFmtId="177" fontId="30" fillId="0" borderId="8" xfId="0" applyNumberFormat="1" applyFont="1" applyBorder="1" applyAlignment="1">
      <alignment horizontal="center" vertical="center"/>
    </xf>
    <xf numFmtId="184" fontId="32" fillId="0" borderId="8" xfId="0" applyNumberFormat="1" applyFont="1" applyBorder="1" applyAlignment="1">
      <alignment horizontal="center" vertical="center" shrinkToFit="1"/>
    </xf>
    <xf numFmtId="183" fontId="30" fillId="0" borderId="14" xfId="0" applyNumberFormat="1" applyFont="1" applyBorder="1" applyAlignment="1">
      <alignment horizontal="center" vertical="center"/>
    </xf>
    <xf numFmtId="0" fontId="30" fillId="0" borderId="14" xfId="0" applyFont="1" applyBorder="1" applyAlignment="1">
      <alignment horizontal="center" vertical="center"/>
    </xf>
    <xf numFmtId="0" fontId="0" fillId="0" borderId="14" xfId="0" applyBorder="1" applyAlignment="1">
      <alignment horizontal="center" vertical="center"/>
    </xf>
    <xf numFmtId="177" fontId="36" fillId="0" borderId="8" xfId="0" applyNumberFormat="1" applyFont="1" applyBorder="1" applyAlignment="1">
      <alignment horizontal="center" vertical="center"/>
    </xf>
    <xf numFmtId="185" fontId="33" fillId="0" borderId="0" xfId="0" applyNumberFormat="1" applyFont="1" applyAlignment="1">
      <alignment horizontal="left" vertical="center"/>
    </xf>
    <xf numFmtId="0" fontId="33" fillId="0" borderId="0" xfId="0" applyFont="1">
      <alignment vertical="center"/>
    </xf>
    <xf numFmtId="0" fontId="30" fillId="0" borderId="27" xfId="0" applyFont="1" applyBorder="1" applyAlignment="1">
      <alignment horizontal="distributed" vertical="center" wrapText="1" justifyLastLine="1"/>
    </xf>
    <xf numFmtId="0" fontId="30" fillId="0" borderId="23" xfId="0" applyFont="1" applyBorder="1" applyAlignment="1">
      <alignment horizontal="distributed" vertical="center" justifyLastLine="1"/>
    </xf>
    <xf numFmtId="0" fontId="30" fillId="0" borderId="3" xfId="0" applyFont="1" applyBorder="1" applyAlignment="1">
      <alignment horizontal="center" vertical="center" shrinkToFit="1"/>
    </xf>
    <xf numFmtId="0" fontId="30" fillId="0" borderId="7" xfId="0" applyFont="1" applyBorder="1" applyAlignment="1">
      <alignment horizontal="center" vertical="center"/>
    </xf>
    <xf numFmtId="184" fontId="32" fillId="0" borderId="27" xfId="0" applyNumberFormat="1" applyFont="1" applyBorder="1" applyAlignment="1">
      <alignment horizontal="center" vertical="center" shrinkToFit="1"/>
    </xf>
    <xf numFmtId="0" fontId="0" fillId="0" borderId="0" xfId="0" applyAlignment="1">
      <alignment horizontal="center" vertical="center"/>
    </xf>
    <xf numFmtId="0" fontId="30" fillId="0" borderId="8" xfId="0" applyFont="1" applyBorder="1" applyAlignment="1">
      <alignment horizontal="center" vertical="center" wrapText="1"/>
    </xf>
    <xf numFmtId="0" fontId="30" fillId="0" borderId="8" xfId="0" applyFont="1" applyBorder="1" applyAlignment="1">
      <alignment horizontal="center" vertical="center"/>
    </xf>
    <xf numFmtId="0" fontId="30" fillId="0" borderId="8" xfId="0" applyFont="1" applyBorder="1" applyAlignment="1">
      <alignment horizontal="distributed" vertical="center"/>
    </xf>
    <xf numFmtId="0" fontId="0" fillId="0" borderId="8" xfId="0" applyBorder="1" applyAlignment="1">
      <alignment horizontal="center" vertical="center"/>
    </xf>
    <xf numFmtId="0" fontId="30" fillId="0" borderId="8" xfId="0" applyFont="1" applyBorder="1">
      <alignment vertical="center"/>
    </xf>
    <xf numFmtId="0" fontId="0" fillId="0" borderId="8" xfId="0" applyBorder="1">
      <alignment vertical="center"/>
    </xf>
    <xf numFmtId="181" fontId="33" fillId="0" borderId="0" xfId="0" applyNumberFormat="1" applyFont="1" applyAlignment="1">
      <alignment horizontal="left" vertical="center"/>
    </xf>
    <xf numFmtId="0" fontId="33" fillId="0" borderId="14" xfId="0" applyFont="1" applyBorder="1" applyAlignment="1">
      <alignment horizontal="left" vertical="center"/>
    </xf>
    <xf numFmtId="184" fontId="30" fillId="0" borderId="8" xfId="0" applyNumberFormat="1" applyFont="1" applyBorder="1" applyAlignment="1">
      <alignment horizontal="right" vertical="center" shrinkToFit="1"/>
    </xf>
    <xf numFmtId="181" fontId="34" fillId="0" borderId="0" xfId="0" applyNumberFormat="1" applyFont="1" applyAlignment="1">
      <alignment horizontal="left" vertical="center"/>
    </xf>
    <xf numFmtId="0" fontId="34" fillId="0" borderId="14" xfId="0" applyFont="1" applyBorder="1" applyAlignment="1">
      <alignment horizontal="left" vertical="center"/>
    </xf>
    <xf numFmtId="186" fontId="33" fillId="0" borderId="0" xfId="0" applyNumberFormat="1" applyFont="1" applyAlignment="1">
      <alignment horizontal="left" vertical="center"/>
    </xf>
    <xf numFmtId="0" fontId="0" fillId="0" borderId="0" xfId="0">
      <alignment vertical="center"/>
    </xf>
    <xf numFmtId="0" fontId="36" fillId="0" borderId="0" xfId="0" applyFont="1" applyAlignment="1">
      <alignment horizontal="center" vertical="center"/>
    </xf>
    <xf numFmtId="0" fontId="31" fillId="0" borderId="14" xfId="0" applyFont="1" applyBorder="1" applyAlignment="1">
      <alignment horizontal="center" vertical="center"/>
    </xf>
    <xf numFmtId="0" fontId="5" fillId="0" borderId="14" xfId="0" applyFont="1" applyBorder="1" applyAlignment="1">
      <alignment horizontal="center" vertical="center"/>
    </xf>
    <xf numFmtId="187" fontId="30" fillId="0" borderId="9" xfId="0" applyNumberFormat="1" applyFont="1" applyBorder="1" applyAlignment="1">
      <alignment horizontal="center" vertical="center"/>
    </xf>
    <xf numFmtId="0" fontId="0" fillId="0" borderId="9" xfId="0" applyBorder="1">
      <alignment vertical="center"/>
    </xf>
    <xf numFmtId="0" fontId="0" fillId="0" borderId="11" xfId="0" applyBorder="1">
      <alignment vertical="center"/>
    </xf>
    <xf numFmtId="0" fontId="12" fillId="0" borderId="0" xfId="0" applyFont="1">
      <alignment vertical="center"/>
    </xf>
    <xf numFmtId="0" fontId="3" fillId="0" borderId="0" xfId="0" applyFont="1" applyAlignment="1">
      <alignment vertical="center" wrapText="1"/>
    </xf>
    <xf numFmtId="0" fontId="4" fillId="0" borderId="0" xfId="0" applyFont="1" applyAlignment="1">
      <alignment horizontal="center" vertical="center"/>
    </xf>
    <xf numFmtId="0" fontId="3" fillId="0" borderId="0" xfId="0" applyFont="1" applyAlignment="1">
      <alignment horizontal="center" vertical="center"/>
    </xf>
    <xf numFmtId="0" fontId="3" fillId="0" borderId="0" xfId="0" applyFont="1" applyAlignment="1">
      <alignment vertical="justify" wrapText="1"/>
    </xf>
    <xf numFmtId="0" fontId="3" fillId="0" borderId="0" xfId="0" applyFont="1" applyAlignment="1">
      <alignment horizontal="left" vertical="center" indent="1"/>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lignment vertical="center"/>
    </xf>
    <xf numFmtId="0" fontId="0" fillId="0" borderId="0" xfId="0" applyAlignment="1">
      <alignment vertical="center" shrinkToFit="1"/>
    </xf>
    <xf numFmtId="176" fontId="0" fillId="0" borderId="0" xfId="0" applyNumberFormat="1">
      <alignment vertical="center"/>
    </xf>
    <xf numFmtId="0" fontId="0" fillId="0" borderId="0" xfId="0" applyAlignment="1">
      <alignment vertical="center" wrapText="1"/>
    </xf>
    <xf numFmtId="58" fontId="0" fillId="0" borderId="0" xfId="0" applyNumberFormat="1" applyAlignment="1">
      <alignment horizontal="right" vertical="center"/>
    </xf>
    <xf numFmtId="0" fontId="0" fillId="0" borderId="0" xfId="0" applyAlignment="1">
      <alignment horizontal="right" vertical="center"/>
    </xf>
    <xf numFmtId="0" fontId="10" fillId="0" borderId="0" xfId="0" applyFont="1" applyAlignment="1">
      <alignment horizontal="center" vertical="center"/>
    </xf>
    <xf numFmtId="0" fontId="0" fillId="0" borderId="0" xfId="0" applyAlignment="1">
      <alignment horizontal="left" vertical="center" shrinkToFit="1"/>
    </xf>
    <xf numFmtId="0" fontId="0" fillId="0" borderId="0" xfId="0" applyAlignment="1">
      <alignment horizontal="left" vertical="center" wrapText="1"/>
    </xf>
    <xf numFmtId="182" fontId="0" fillId="0" borderId="0" xfId="0" applyNumberFormat="1" applyAlignment="1">
      <alignment horizontal="right" vertical="center"/>
    </xf>
    <xf numFmtId="0" fontId="26" fillId="0" borderId="1" xfId="0" applyFont="1" applyBorder="1" applyAlignment="1">
      <alignment horizontal="left" vertical="center" indent="1"/>
    </xf>
    <xf numFmtId="0" fontId="26" fillId="0" borderId="3" xfId="0" applyFont="1" applyBorder="1" applyAlignment="1">
      <alignment horizontal="left" vertical="center" indent="1"/>
    </xf>
    <xf numFmtId="0" fontId="26" fillId="0" borderId="6" xfId="0" applyFont="1" applyBorder="1" applyAlignment="1">
      <alignment horizontal="left" vertical="center" indent="1"/>
    </xf>
    <xf numFmtId="0" fontId="26" fillId="0" borderId="7" xfId="0" applyFont="1" applyBorder="1" applyAlignment="1">
      <alignment horizontal="left" vertical="center" indent="1"/>
    </xf>
    <xf numFmtId="0" fontId="26" fillId="0" borderId="4" xfId="0" applyFont="1" applyBorder="1" applyAlignment="1">
      <alignment horizontal="left" vertical="center" indent="1"/>
    </xf>
    <xf numFmtId="0" fontId="26" fillId="0" borderId="5" xfId="0" applyFont="1" applyBorder="1" applyAlignment="1">
      <alignment horizontal="left" vertical="center" indent="1"/>
    </xf>
    <xf numFmtId="0" fontId="11" fillId="0" borderId="0" xfId="0" applyFont="1">
      <alignment vertical="center"/>
    </xf>
    <xf numFmtId="0" fontId="11" fillId="0" borderId="0" xfId="0" applyFont="1" applyAlignment="1">
      <alignment horizontal="left" vertical="center" indent="1"/>
    </xf>
    <xf numFmtId="0" fontId="13" fillId="0" borderId="0" xfId="0" applyFont="1" applyAlignment="1">
      <alignment horizontal="distributed" vertical="center" justifyLastLine="1"/>
    </xf>
    <xf numFmtId="0" fontId="3" fillId="0" borderId="8" xfId="0" applyFont="1" applyBorder="1" applyAlignment="1">
      <alignment horizontal="center" vertical="center"/>
    </xf>
    <xf numFmtId="0" fontId="26" fillId="0" borderId="2" xfId="0" applyFont="1" applyBorder="1" applyAlignment="1">
      <alignment horizontal="left" vertical="center" indent="1"/>
    </xf>
    <xf numFmtId="0" fontId="26" fillId="0" borderId="0" xfId="0" applyFont="1" applyAlignment="1">
      <alignment horizontal="left" vertical="center" indent="1"/>
    </xf>
    <xf numFmtId="0" fontId="26" fillId="0" borderId="14" xfId="0" applyFont="1" applyBorder="1" applyAlignment="1">
      <alignment horizontal="left" vertical="center" indent="1"/>
    </xf>
    <xf numFmtId="0" fontId="21" fillId="0" borderId="0" xfId="1" applyFont="1" applyAlignment="1">
      <alignment horizontal="center" wrapText="1"/>
    </xf>
    <xf numFmtId="0" fontId="19" fillId="0" borderId="0" xfId="1" applyFont="1" applyAlignment="1">
      <alignment horizontal="left"/>
    </xf>
    <xf numFmtId="0" fontId="20" fillId="0" borderId="0" xfId="1" applyFont="1" applyAlignment="1">
      <alignment horizontal="center"/>
    </xf>
    <xf numFmtId="0" fontId="19" fillId="0" borderId="0" xfId="1" applyFont="1"/>
    <xf numFmtId="0" fontId="24" fillId="0" borderId="0" xfId="1" applyFont="1" applyAlignment="1">
      <alignment horizontal="left" vertical="center" indent="10"/>
    </xf>
    <xf numFmtId="0" fontId="22" fillId="0" borderId="0" xfId="1" applyFont="1" applyAlignment="1">
      <alignment horizontal="center" vertical="center"/>
    </xf>
    <xf numFmtId="0" fontId="24" fillId="0" borderId="0" xfId="1" applyFont="1" applyAlignment="1">
      <alignment horizontal="center" vertical="center"/>
    </xf>
    <xf numFmtId="0" fontId="21" fillId="0" borderId="0" xfId="1" applyFont="1" applyAlignment="1">
      <alignment horizontal="left"/>
    </xf>
    <xf numFmtId="0" fontId="16" fillId="0" borderId="0" xfId="0" applyFont="1" applyAlignment="1">
      <alignment vertical="top" textRotation="255" wrapText="1" indent="1"/>
    </xf>
    <xf numFmtId="0" fontId="8" fillId="0" borderId="0" xfId="0" applyFont="1" applyAlignment="1">
      <alignment vertical="center" textRotation="255" shrinkToFit="1"/>
    </xf>
    <xf numFmtId="0" fontId="0" fillId="0" borderId="35" xfId="0" applyBorder="1" applyAlignment="1">
      <alignment vertical="center" textRotation="255" shrinkToFit="1"/>
    </xf>
    <xf numFmtId="0" fontId="1" fillId="0" borderId="0" xfId="0" applyFont="1" applyAlignment="1">
      <alignment horizontal="left" vertical="top" textRotation="255" wrapText="1" indent="1"/>
    </xf>
  </cellXfs>
  <cellStyles count="2">
    <cellStyle name="標準" xfId="0" builtinId="0"/>
    <cellStyle name="標準_調査測量図1" xfId="1"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142875</xdr:colOff>
      <xdr:row>42</xdr:row>
      <xdr:rowOff>161925</xdr:rowOff>
    </xdr:from>
    <xdr:to>
      <xdr:col>4</xdr:col>
      <xdr:colOff>38100</xdr:colOff>
      <xdr:row>45</xdr:row>
      <xdr:rowOff>19050</xdr:rowOff>
    </xdr:to>
    <xdr:pic>
      <xdr:nvPicPr>
        <xdr:cNvPr id="3" name="Picture 28">
          <a:extLst>
            <a:ext uri="{FF2B5EF4-FFF2-40B4-BE49-F238E27FC236}">
              <a16:creationId xmlns:a16="http://schemas.microsoft.com/office/drawing/2014/main" id="{00000000-0008-0000-1A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714500" y="8696325"/>
          <a:ext cx="542925" cy="495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8"/>
  <sheetViews>
    <sheetView tabSelected="1" topLeftCell="A5" zoomScale="70" zoomScaleNormal="70" workbookViewId="0">
      <selection activeCell="F15" sqref="F15:G15"/>
    </sheetView>
  </sheetViews>
  <sheetFormatPr defaultRowHeight="13.5" x14ac:dyDescent="0.15"/>
  <cols>
    <col min="1" max="1" width="4" customWidth="1"/>
    <col min="2" max="2" width="8.375" customWidth="1"/>
    <col min="3" max="3" width="21.625" style="6" customWidth="1"/>
    <col min="4" max="4" width="9.875" style="17" customWidth="1"/>
    <col min="5" max="5" width="6.75" customWidth="1"/>
    <col min="6" max="6" width="8.5" customWidth="1"/>
    <col min="7" max="7" width="8.125" customWidth="1"/>
    <col min="8" max="8" width="22.25" customWidth="1"/>
    <col min="9" max="9" width="17.25" customWidth="1"/>
    <col min="10" max="10" width="22.25" customWidth="1"/>
    <col min="11" max="11" width="16.75" customWidth="1"/>
  </cols>
  <sheetData>
    <row r="1" spans="1:11" x14ac:dyDescent="0.15">
      <c r="C1"/>
    </row>
    <row r="2" spans="1:11" x14ac:dyDescent="0.15">
      <c r="B2" s="34" t="s">
        <v>53</v>
      </c>
      <c r="C2" s="100"/>
      <c r="D2" s="101"/>
      <c r="E2" s="101"/>
      <c r="F2" s="101"/>
      <c r="G2" s="102"/>
      <c r="H2" s="6"/>
    </row>
    <row r="3" spans="1:11" x14ac:dyDescent="0.15">
      <c r="F3" s="6"/>
      <c r="H3" s="6"/>
    </row>
    <row r="4" spans="1:11" x14ac:dyDescent="0.15">
      <c r="B4" s="34" t="s">
        <v>26</v>
      </c>
      <c r="C4" s="138"/>
      <c r="D4" s="139"/>
      <c r="E4" s="139"/>
      <c r="F4" s="139"/>
      <c r="G4" s="140"/>
    </row>
    <row r="5" spans="1:11" s="11" customFormat="1" ht="30" customHeight="1" x14ac:dyDescent="0.15">
      <c r="B5" s="141"/>
      <c r="C5" s="103" t="s">
        <v>15</v>
      </c>
      <c r="D5" s="104"/>
      <c r="E5" s="104"/>
      <c r="F5" s="104"/>
      <c r="G5" s="105"/>
      <c r="H5" s="141"/>
      <c r="I5" s="141"/>
      <c r="J5" s="10"/>
    </row>
    <row r="6" spans="1:11" s="11" customFormat="1" ht="30" customHeight="1" x14ac:dyDescent="0.15">
      <c r="B6" s="141"/>
      <c r="C6" s="10" t="s">
        <v>1</v>
      </c>
      <c r="D6" s="10" t="s">
        <v>2</v>
      </c>
      <c r="E6" s="10"/>
      <c r="F6" s="10" t="s">
        <v>3</v>
      </c>
      <c r="G6" s="10" t="s">
        <v>4</v>
      </c>
      <c r="H6" s="10" t="s">
        <v>5</v>
      </c>
      <c r="I6" s="10" t="s">
        <v>6</v>
      </c>
      <c r="J6" s="10" t="s">
        <v>115</v>
      </c>
      <c r="K6" s="10" t="s">
        <v>40</v>
      </c>
    </row>
    <row r="7" spans="1:11" s="11" customFormat="1" ht="30" customHeight="1" x14ac:dyDescent="0.15">
      <c r="A7" s="10">
        <v>1</v>
      </c>
      <c r="B7" s="10" t="s">
        <v>123</v>
      </c>
      <c r="C7" s="12" t="e">
        <f>+#REF!</f>
        <v>#REF!</v>
      </c>
      <c r="D7" s="10" t="e">
        <f>+#REF!</f>
        <v>#REF!</v>
      </c>
      <c r="E7" s="37" t="e">
        <f t="shared" ref="E7:E12" si="0">CONCATENATE(C7,D7)</f>
        <v>#REF!</v>
      </c>
      <c r="F7" s="12" t="e">
        <f>+#REF!</f>
        <v>#REF!</v>
      </c>
      <c r="G7" s="24" t="e">
        <f>+#REF!</f>
        <v>#REF!</v>
      </c>
      <c r="H7" s="12" t="e">
        <f>+#REF!</f>
        <v>#REF!</v>
      </c>
      <c r="I7" s="12" t="e">
        <f>+#REF!</f>
        <v>#REF!</v>
      </c>
      <c r="J7" s="12" t="e">
        <f>+#REF!</f>
        <v>#REF!</v>
      </c>
      <c r="K7" s="10"/>
    </row>
    <row r="8" spans="1:11" s="11" customFormat="1" ht="30" customHeight="1" x14ac:dyDescent="0.15">
      <c r="A8" s="10">
        <v>2</v>
      </c>
      <c r="B8" s="10" t="s">
        <v>124</v>
      </c>
      <c r="C8" s="12" t="e">
        <f>+#REF!</f>
        <v>#REF!</v>
      </c>
      <c r="D8" s="10" t="e">
        <f>+#REF!</f>
        <v>#REF!</v>
      </c>
      <c r="E8" s="37" t="e">
        <f t="shared" si="0"/>
        <v>#REF!</v>
      </c>
      <c r="F8" s="12" t="e">
        <f>+#REF!</f>
        <v>#REF!</v>
      </c>
      <c r="G8" s="24" t="e">
        <f>+#REF!</f>
        <v>#REF!</v>
      </c>
      <c r="H8" s="12" t="e">
        <f>+#REF!</f>
        <v>#REF!</v>
      </c>
      <c r="I8" s="12" t="e">
        <f>+#REF!</f>
        <v>#REF!</v>
      </c>
      <c r="J8" s="12" t="e">
        <f>+#REF!</f>
        <v>#REF!</v>
      </c>
      <c r="K8" s="10"/>
    </row>
    <row r="9" spans="1:11" s="11" customFormat="1" ht="30" customHeight="1" x14ac:dyDescent="0.15">
      <c r="A9" s="10">
        <v>3</v>
      </c>
      <c r="B9" s="10" t="s">
        <v>124</v>
      </c>
      <c r="C9" s="12" t="e">
        <f>+#REF!</f>
        <v>#REF!</v>
      </c>
      <c r="D9" s="10" t="e">
        <f>+#REF!</f>
        <v>#REF!</v>
      </c>
      <c r="E9" s="37" t="e">
        <f t="shared" si="0"/>
        <v>#REF!</v>
      </c>
      <c r="F9" s="12" t="e">
        <f>+#REF!</f>
        <v>#REF!</v>
      </c>
      <c r="G9" s="24" t="e">
        <f>+#REF!</f>
        <v>#REF!</v>
      </c>
      <c r="H9" s="12" t="e">
        <f>+#REF!</f>
        <v>#REF!</v>
      </c>
      <c r="I9" s="12" t="e">
        <f>+#REF!</f>
        <v>#REF!</v>
      </c>
      <c r="J9" s="12" t="e">
        <f>+#REF!</f>
        <v>#REF!</v>
      </c>
      <c r="K9" s="10"/>
    </row>
    <row r="10" spans="1:11" s="11" customFormat="1" ht="30" customHeight="1" x14ac:dyDescent="0.15">
      <c r="A10" s="10">
        <v>4</v>
      </c>
      <c r="B10" s="10" t="s">
        <v>124</v>
      </c>
      <c r="C10" s="12" t="e">
        <f>+#REF!</f>
        <v>#REF!</v>
      </c>
      <c r="D10" s="10" t="e">
        <f>+#REF!</f>
        <v>#REF!</v>
      </c>
      <c r="E10" s="37" t="e">
        <f t="shared" si="0"/>
        <v>#REF!</v>
      </c>
      <c r="F10" s="12" t="e">
        <f>+#REF!</f>
        <v>#REF!</v>
      </c>
      <c r="G10" s="24" t="e">
        <f>+#REF!</f>
        <v>#REF!</v>
      </c>
      <c r="H10" s="12" t="e">
        <f>+#REF!</f>
        <v>#REF!</v>
      </c>
      <c r="I10" s="12" t="e">
        <f>+#REF!</f>
        <v>#REF!</v>
      </c>
      <c r="J10" s="12" t="e">
        <f>+#REF!</f>
        <v>#REF!</v>
      </c>
      <c r="K10" s="10"/>
    </row>
    <row r="11" spans="1:11" s="11" customFormat="1" ht="30" customHeight="1" x14ac:dyDescent="0.15">
      <c r="A11" s="10">
        <v>5</v>
      </c>
      <c r="B11" s="10" t="s">
        <v>124</v>
      </c>
      <c r="C11" s="12" t="e">
        <f>+#REF!</f>
        <v>#REF!</v>
      </c>
      <c r="D11" s="10" t="e">
        <f>+#REF!</f>
        <v>#REF!</v>
      </c>
      <c r="E11" s="37" t="e">
        <f t="shared" si="0"/>
        <v>#REF!</v>
      </c>
      <c r="F11" s="12" t="e">
        <f>+#REF!</f>
        <v>#REF!</v>
      </c>
      <c r="G11" s="24" t="e">
        <f>+#REF!</f>
        <v>#REF!</v>
      </c>
      <c r="H11" s="12" t="e">
        <f>+#REF!</f>
        <v>#REF!</v>
      </c>
      <c r="I11" s="12" t="e">
        <f>+#REF!</f>
        <v>#REF!</v>
      </c>
      <c r="J11" s="12" t="e">
        <f>+#REF!</f>
        <v>#REF!</v>
      </c>
      <c r="K11" s="10"/>
    </row>
    <row r="12" spans="1:11" s="11" customFormat="1" ht="30" customHeight="1" x14ac:dyDescent="0.15">
      <c r="A12" s="10">
        <v>6</v>
      </c>
      <c r="B12" s="10" t="s">
        <v>124</v>
      </c>
      <c r="C12" s="12" t="e">
        <f>+#REF!</f>
        <v>#REF!</v>
      </c>
      <c r="D12" s="10" t="e">
        <f>+#REF!</f>
        <v>#REF!</v>
      </c>
      <c r="E12" s="37" t="e">
        <f t="shared" si="0"/>
        <v>#REF!</v>
      </c>
      <c r="F12" s="12" t="e">
        <f>+#REF!</f>
        <v>#REF!</v>
      </c>
      <c r="G12" s="24" t="e">
        <f>+#REF!</f>
        <v>#REF!</v>
      </c>
      <c r="H12" s="12" t="e">
        <f>+#REF!</f>
        <v>#REF!</v>
      </c>
      <c r="I12" s="12" t="e">
        <f>+#REF!</f>
        <v>#REF!</v>
      </c>
      <c r="J12" s="12" t="e">
        <f>+#REF!</f>
        <v>#REF!</v>
      </c>
      <c r="K12" s="10"/>
    </row>
    <row r="13" spans="1:11" s="11" customFormat="1" ht="30" customHeight="1" x14ac:dyDescent="0.15">
      <c r="A13" s="10">
        <v>7</v>
      </c>
      <c r="B13" s="10"/>
      <c r="C13" s="12"/>
      <c r="D13" s="10"/>
      <c r="E13" s="37"/>
      <c r="F13" s="12"/>
      <c r="G13" s="24"/>
      <c r="H13" s="12"/>
      <c r="I13" s="12"/>
      <c r="J13" s="12"/>
      <c r="K13" s="10"/>
    </row>
    <row r="14" spans="1:11" s="11" customFormat="1" ht="30" customHeight="1" x14ac:dyDescent="0.15">
      <c r="A14" s="10">
        <v>8</v>
      </c>
      <c r="B14" s="10"/>
      <c r="C14" s="12"/>
      <c r="D14" s="10"/>
      <c r="E14" s="37"/>
      <c r="F14" s="12"/>
      <c r="G14" s="24"/>
      <c r="H14" s="12"/>
      <c r="I14" s="12"/>
      <c r="J14" s="12"/>
      <c r="K14" s="10"/>
    </row>
    <row r="15" spans="1:11" s="11" customFormat="1" ht="30" customHeight="1" x14ac:dyDescent="0.15">
      <c r="A15" s="10">
        <v>9</v>
      </c>
      <c r="B15" s="10"/>
      <c r="C15" s="12"/>
      <c r="D15" s="10"/>
      <c r="E15" s="37"/>
      <c r="F15" s="12"/>
      <c r="G15" s="24"/>
      <c r="H15" s="12"/>
      <c r="I15" s="12"/>
      <c r="J15" s="12"/>
      <c r="K15" s="10"/>
    </row>
    <row r="16" spans="1:11" s="11" customFormat="1" ht="30" customHeight="1" x14ac:dyDescent="0.15">
      <c r="A16" s="10">
        <v>10</v>
      </c>
      <c r="B16" s="10"/>
      <c r="C16" s="12"/>
      <c r="D16" s="10"/>
      <c r="E16" s="37"/>
      <c r="F16" s="12"/>
      <c r="G16" s="24"/>
      <c r="H16" s="12"/>
      <c r="I16" s="12"/>
      <c r="J16" s="12"/>
      <c r="K16" s="10"/>
    </row>
    <row r="17" spans="1:11" s="11" customFormat="1" ht="30" customHeight="1" x14ac:dyDescent="0.15">
      <c r="A17" s="10">
        <v>11</v>
      </c>
      <c r="B17" s="10"/>
      <c r="C17" s="12"/>
      <c r="D17" s="10"/>
      <c r="E17" s="37"/>
      <c r="F17" s="12"/>
      <c r="G17" s="24"/>
      <c r="H17" s="12"/>
      <c r="I17" s="12"/>
      <c r="J17" s="12"/>
      <c r="K17" s="10"/>
    </row>
    <row r="18" spans="1:11" s="11" customFormat="1" ht="30" customHeight="1" x14ac:dyDescent="0.15">
      <c r="A18" s="10">
        <v>12</v>
      </c>
      <c r="B18" s="10"/>
      <c r="C18" s="12"/>
      <c r="D18" s="10"/>
      <c r="E18" s="37"/>
      <c r="F18" s="12"/>
      <c r="G18" s="24"/>
      <c r="H18" s="12"/>
      <c r="I18" s="12"/>
      <c r="J18" s="12"/>
      <c r="K18" s="10"/>
    </row>
    <row r="19" spans="1:11" s="11" customFormat="1" ht="30" customHeight="1" x14ac:dyDescent="0.15">
      <c r="A19" s="10">
        <v>13</v>
      </c>
      <c r="B19" s="10"/>
      <c r="C19" s="12"/>
      <c r="D19" s="10"/>
      <c r="E19" s="37"/>
      <c r="F19" s="12"/>
      <c r="G19" s="24"/>
      <c r="H19" s="12"/>
      <c r="I19" s="12"/>
      <c r="J19" s="12"/>
      <c r="K19" s="10"/>
    </row>
    <row r="20" spans="1:11" s="11" customFormat="1" ht="30" customHeight="1" x14ac:dyDescent="0.15">
      <c r="A20" s="10">
        <v>14</v>
      </c>
      <c r="B20" s="10"/>
      <c r="C20" s="12"/>
      <c r="D20" s="10"/>
      <c r="E20" s="37"/>
      <c r="F20" s="12"/>
      <c r="G20" s="24"/>
      <c r="H20" s="12"/>
      <c r="I20" s="12"/>
      <c r="J20" s="12"/>
      <c r="K20" s="10"/>
    </row>
    <row r="21" spans="1:11" s="11" customFormat="1" ht="30" customHeight="1" x14ac:dyDescent="0.15">
      <c r="A21" s="10">
        <v>15</v>
      </c>
      <c r="B21" s="10"/>
      <c r="C21" s="12"/>
      <c r="D21" s="10"/>
      <c r="E21" s="37"/>
      <c r="F21" s="12"/>
      <c r="G21" s="24"/>
      <c r="H21" s="12"/>
      <c r="I21" s="12"/>
      <c r="J21" s="12"/>
      <c r="K21" s="10"/>
    </row>
    <row r="22" spans="1:11" ht="30" customHeight="1" x14ac:dyDescent="0.15">
      <c r="A22" s="10">
        <v>16</v>
      </c>
      <c r="B22" s="10"/>
      <c r="C22" s="12"/>
      <c r="D22" s="10"/>
      <c r="E22" s="37"/>
      <c r="F22" s="12"/>
      <c r="G22" s="24"/>
      <c r="H22" s="12"/>
      <c r="I22" s="12"/>
      <c r="J22" s="12"/>
      <c r="K22" s="10"/>
    </row>
    <row r="23" spans="1:11" ht="30" customHeight="1" x14ac:dyDescent="0.15">
      <c r="A23" s="10">
        <v>17</v>
      </c>
      <c r="B23" s="10"/>
      <c r="C23" s="12"/>
      <c r="D23" s="10"/>
      <c r="E23" s="37"/>
      <c r="F23" s="12"/>
      <c r="G23" s="24"/>
      <c r="H23" s="12"/>
      <c r="I23" s="12"/>
      <c r="J23" s="12"/>
      <c r="K23" s="10"/>
    </row>
    <row r="24" spans="1:11" ht="30" customHeight="1" x14ac:dyDescent="0.15">
      <c r="A24" s="10">
        <v>18</v>
      </c>
      <c r="B24" s="10"/>
      <c r="C24" s="12"/>
      <c r="D24" s="10"/>
      <c r="E24" s="37"/>
      <c r="F24" s="12"/>
      <c r="G24" s="24"/>
      <c r="H24" s="12"/>
      <c r="I24" s="12"/>
      <c r="J24" s="12"/>
      <c r="K24" s="10"/>
    </row>
    <row r="25" spans="1:11" ht="30" customHeight="1" x14ac:dyDescent="0.15">
      <c r="A25" s="10">
        <v>19</v>
      </c>
      <c r="B25" s="10"/>
      <c r="C25" s="12"/>
      <c r="D25" s="10"/>
      <c r="E25" s="37"/>
      <c r="F25" s="12"/>
      <c r="G25" s="24"/>
      <c r="H25" s="12"/>
      <c r="I25" s="12"/>
      <c r="J25" s="12"/>
      <c r="K25" s="10"/>
    </row>
    <row r="26" spans="1:11" ht="30" customHeight="1" x14ac:dyDescent="0.15">
      <c r="A26" s="10">
        <v>20</v>
      </c>
      <c r="B26" s="10"/>
      <c r="C26" s="12"/>
      <c r="D26" s="10"/>
      <c r="E26" s="37"/>
      <c r="F26" s="12"/>
      <c r="G26" s="24"/>
      <c r="H26" s="12"/>
      <c r="I26" s="12"/>
      <c r="J26" s="12"/>
      <c r="K26" s="10"/>
    </row>
    <row r="27" spans="1:11" ht="30" customHeight="1" x14ac:dyDescent="0.15">
      <c r="A27" s="10">
        <v>21</v>
      </c>
      <c r="B27" s="10"/>
      <c r="C27" s="12"/>
      <c r="D27" s="10"/>
      <c r="E27" s="37"/>
      <c r="F27" s="12"/>
      <c r="G27" s="24"/>
      <c r="H27" s="12"/>
      <c r="I27" s="12"/>
      <c r="J27" s="12"/>
      <c r="K27" s="10"/>
    </row>
    <row r="28" spans="1:11" ht="30" customHeight="1" x14ac:dyDescent="0.15">
      <c r="A28" s="10">
        <v>22</v>
      </c>
      <c r="B28" s="10"/>
      <c r="C28" s="12"/>
      <c r="D28" s="10"/>
      <c r="E28" s="37"/>
      <c r="F28" s="12"/>
      <c r="G28" s="24"/>
      <c r="H28" s="12"/>
      <c r="I28" s="12"/>
      <c r="J28" s="12"/>
      <c r="K28" s="10"/>
    </row>
  </sheetData>
  <mergeCells count="2">
    <mergeCell ref="B5:B6"/>
    <mergeCell ref="H5:I5"/>
  </mergeCells>
  <phoneticPr fontId="2"/>
  <dataValidations count="1">
    <dataValidation type="list" allowBlank="1" showInputMessage="1" sqref="F7:F28" xr:uid="{00000000-0002-0000-0000-000000000000}">
      <formula1>#REF!</formula1>
    </dataValidation>
  </dataValidations>
  <pageMargins left="0.78740157480314965" right="0.78740157480314965" top="0.98425196850393704" bottom="0.98425196850393704" header="0.51181102362204722" footer="0.51181102362204722"/>
  <pageSetup paperSize="9" scale="60" orientation="landscape" horizontalDpi="4294967292" verticalDpi="12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5"/>
  <sheetViews>
    <sheetView showZeros="0" zoomScale="85" workbookViewId="0">
      <selection activeCell="A12" sqref="A12"/>
    </sheetView>
  </sheetViews>
  <sheetFormatPr defaultRowHeight="13.5" x14ac:dyDescent="0.15"/>
  <cols>
    <col min="1" max="1" width="7.375" style="9" customWidth="1"/>
    <col min="2" max="2" width="12.875" style="9" customWidth="1"/>
    <col min="3" max="3" width="8.25" style="13" customWidth="1"/>
    <col min="4" max="4" width="7" style="13" customWidth="1"/>
    <col min="5" max="5" width="6.5" style="9" customWidth="1"/>
    <col min="6" max="6" width="16.5" style="9" customWidth="1"/>
    <col min="7" max="7" width="22.875" style="9" customWidth="1"/>
    <col min="8" max="8" width="11.875" style="9" customWidth="1"/>
    <col min="9" max="11" width="10.875" style="9" customWidth="1"/>
    <col min="12" max="12" width="11" style="9" customWidth="1"/>
    <col min="13" max="16384" width="9" style="9"/>
  </cols>
  <sheetData>
    <row r="1" spans="1:12" ht="34.5" customHeight="1" x14ac:dyDescent="0.15">
      <c r="B1" s="142" t="s">
        <v>90</v>
      </c>
      <c r="C1" s="142"/>
      <c r="D1" s="142"/>
      <c r="E1" s="142"/>
      <c r="F1" s="142"/>
      <c r="G1" s="142"/>
      <c r="H1" s="142"/>
      <c r="I1" s="142"/>
      <c r="J1" s="142"/>
      <c r="K1" s="142"/>
      <c r="L1" s="142"/>
    </row>
    <row r="2" spans="1:12" ht="34.5" customHeight="1" x14ac:dyDescent="0.15">
      <c r="B2" s="31" t="s">
        <v>38</v>
      </c>
      <c r="C2" s="32" t="s">
        <v>2</v>
      </c>
      <c r="D2" s="25" t="s">
        <v>3</v>
      </c>
      <c r="E2" s="25" t="s">
        <v>39</v>
      </c>
      <c r="F2" s="25" t="s">
        <v>20</v>
      </c>
      <c r="G2" s="25" t="s">
        <v>19</v>
      </c>
      <c r="H2" s="25" t="s">
        <v>41</v>
      </c>
      <c r="I2" s="25" t="s">
        <v>63</v>
      </c>
      <c r="J2" s="25" t="s">
        <v>64</v>
      </c>
      <c r="K2" s="25" t="s">
        <v>89</v>
      </c>
      <c r="L2" s="25" t="s">
        <v>16</v>
      </c>
    </row>
    <row r="3" spans="1:12" s="95" customFormat="1" ht="36.75" customHeight="1" x14ac:dyDescent="0.15">
      <c r="A3" s="95">
        <v>1</v>
      </c>
      <c r="B3" s="96" t="e">
        <f>IF(ISBLANK($A3),0,VLOOKUP($A3,入力シート!$A$7:$J$21,3,FALSE))</f>
        <v>#REF!</v>
      </c>
      <c r="C3" s="97" t="e">
        <f>IF(ISBLANK($A3),0,VLOOKUP($A3,入力シート!$A$7:$J$21,4,FALSE))</f>
        <v>#REF!</v>
      </c>
      <c r="D3" s="91" t="e">
        <f>IF(ISBLANK($A3),0,VLOOKUP($A3,入力シート!$A$7:$J$21,6,FALSE))</f>
        <v>#REF!</v>
      </c>
      <c r="E3" s="98" t="e">
        <f>IF(ISBLANK(A3),0,VLOOKUP(A3,入力シート!$A$7:$J$21,7,FALSE))</f>
        <v>#REF!</v>
      </c>
      <c r="F3" s="92" t="e">
        <f>IF(ISBLANK($A3),0,VLOOKUP($A3,入力シート!$A$7:$J$21,9,FALSE))</f>
        <v>#REF!</v>
      </c>
      <c r="G3" s="92" t="e">
        <f>IF(ISBLANK($A3),0,VLOOKUP($A3,入力シート!$A$7:$J$21,8,FALSE))</f>
        <v>#REF!</v>
      </c>
      <c r="H3" s="93"/>
      <c r="I3" s="93"/>
      <c r="J3" s="93"/>
      <c r="K3" s="93"/>
      <c r="L3" s="94"/>
    </row>
    <row r="4" spans="1:12" ht="36.75" customHeight="1" x14ac:dyDescent="0.15">
      <c r="A4" s="9">
        <v>2</v>
      </c>
      <c r="B4" s="52" t="e">
        <f>IF(ISBLANK($A4),0,IF(A3=A4,0,VLOOKUP($A4,入力シート!$A$7:$J$21,3,FALSE)))</f>
        <v>#REF!</v>
      </c>
      <c r="C4" s="53" t="e">
        <f>IF(ISBLANK($A4),0,IF($A3=$A4,0,VLOOKUP($A4,入力シート!$A$7:$J$21,4,FALSE)))</f>
        <v>#REF!</v>
      </c>
      <c r="D4" s="33" t="e">
        <f>IF(ISBLANK($A4),0,IF($A3=$A4,0,VLOOKUP($A4,入力シート!$A$7:$J$21,6,FALSE)))</f>
        <v>#REF!</v>
      </c>
      <c r="E4" s="54" t="e">
        <f>IF(ISBLANK($A4),0,IF($A3=$A4,0,VLOOKUP($A4,入力シート!$A$7:$J$21,7,FALSE)))</f>
        <v>#REF!</v>
      </c>
      <c r="F4" s="55" t="e">
        <f>IF(ISBLANK($A4),0,IF($A3=$A4,VLOOKUP($A4,入力シート!$A$7:$J$21,11,FALSE),VLOOKUP($A4,入力シート!$A$7:$J$21,9,FALSE)))</f>
        <v>#REF!</v>
      </c>
      <c r="G4" s="55" t="e">
        <f>IF(ISBLANK($A4),0,IF($A3=$A4,VLOOKUP($A4,入力シート!$A$7:$J$21,10,FALSE),VLOOKUP($A4,入力シート!$A$7:$J$21,8,FALSE)))</f>
        <v>#REF!</v>
      </c>
      <c r="H4" s="26"/>
      <c r="I4" s="26"/>
      <c r="J4" s="26"/>
      <c r="K4" s="26"/>
      <c r="L4" s="14"/>
    </row>
    <row r="5" spans="1:12" s="95" customFormat="1" ht="36.75" customHeight="1" x14ac:dyDescent="0.15">
      <c r="A5" s="95">
        <v>3</v>
      </c>
      <c r="B5" s="96" t="e">
        <f>IF(ISBLANK($A5),0,IF(A4=A5,0,VLOOKUP($A5,入力シート!$A$7:$J$21,3,FALSE)))</f>
        <v>#REF!</v>
      </c>
      <c r="C5" s="97" t="e">
        <f>IF(ISBLANK($A5),0,IF($A4=$A5,0,VLOOKUP($A5,入力シート!$A$7:$J$21,4,FALSE)))</f>
        <v>#REF!</v>
      </c>
      <c r="D5" s="91" t="e">
        <f>IF(ISBLANK($A5),0,IF($A4=$A5,0,VLOOKUP($A5,入力シート!$A$7:$J$21,6,FALSE)))</f>
        <v>#REF!</v>
      </c>
      <c r="E5" s="98" t="e">
        <f>IF(ISBLANK($A5),0,IF($A4=$A5,0,VLOOKUP($A5,入力シート!$A$7:$J$21,7,FALSE)))</f>
        <v>#REF!</v>
      </c>
      <c r="F5" s="92" t="e">
        <f>IF(ISBLANK($A5),0,IF($A3=$A5,VLOOKUP($A5,入力シート!$A$7:$J$21,13,FALSE),IF($A4=$A5,VLOOKUP($A5,入力シート!$A$7:$J$21,11,FALSE),VLOOKUP($A5,入力シート!$A$7:$J$21,9,FALSE))))</f>
        <v>#REF!</v>
      </c>
      <c r="G5" s="92" t="e">
        <f>IF(ISBLANK($A5),0,IF($A3=$A5,VLOOKUP($A5,入力シート!$A$7:$J$21,12,FALSE),IF($A4=$A5,VLOOKUP($A5,入力シート!$A$7:$J$21,10,FALSE),VLOOKUP($A5,入力シート!$A$7:$J$21,8,FALSE))))</f>
        <v>#REF!</v>
      </c>
      <c r="H5" s="93"/>
      <c r="I5" s="93"/>
      <c r="J5" s="93"/>
      <c r="K5" s="93"/>
      <c r="L5" s="94"/>
    </row>
    <row r="6" spans="1:12" ht="36.75" customHeight="1" x14ac:dyDescent="0.15">
      <c r="A6" s="9">
        <v>4</v>
      </c>
      <c r="B6" s="52" t="e">
        <f>IF(ISBLANK($A6),0,IF(A5=A6,0,VLOOKUP($A6,入力シート!$A$7:$J$21,3,FALSE)))</f>
        <v>#REF!</v>
      </c>
      <c r="C6" s="53" t="e">
        <f>IF(ISBLANK($A6),0,IF($A5=$A6,0,VLOOKUP($A6,入力シート!$A$7:$J$21,4,FALSE)))</f>
        <v>#REF!</v>
      </c>
      <c r="D6" s="33" t="e">
        <f>IF(ISBLANK($A6),0,IF($A5=$A6,0,VLOOKUP($A6,入力シート!$A$7:$J$21,6,FALSE)))</f>
        <v>#REF!</v>
      </c>
      <c r="E6" s="54" t="e">
        <f>IF(ISBLANK($A6),0,IF($A5=$A6,0,VLOOKUP($A6,入力シート!$A$7:$J$21,7,FALSE)))</f>
        <v>#REF!</v>
      </c>
      <c r="F6" s="55" t="e">
        <f>IF(ISBLANK($A6),0,IF($A3=$A6,VLOOKUP($A6,入力シート!$A$7:$J$21,15,FALSE),IF($A4=$A6,VLOOKUP($A6,入力シート!$A$7:$J$21,13,FALSE),IF($A5=$A6,VLOOKUP($A6,入力シート!$A$7:$J$21,11,FALSE),VLOOKUP($A6,入力シート!$A$7:$J$21,9,FALSE)))))</f>
        <v>#REF!</v>
      </c>
      <c r="G6" s="55" t="e">
        <f>IF(ISBLANK($A6),0,IF($A3=$A6,VLOOKUP($A6,入力シート!$A$7:$J$21,14,FALSE),IF($A4=$A6,VLOOKUP($A6,入力シート!$A$7:$J$21,12,FALSE),IF($A5=$A6,VLOOKUP($A6,入力シート!$A$7:$J$21,10,FALSE),VLOOKUP($A6,入力シート!$A$7:$J$21,8,FALSE)))))</f>
        <v>#REF!</v>
      </c>
      <c r="H6" s="26"/>
      <c r="I6" s="26"/>
      <c r="J6" s="26"/>
      <c r="K6" s="26"/>
      <c r="L6" s="14"/>
    </row>
    <row r="7" spans="1:12" s="95" customFormat="1" ht="36.75" customHeight="1" x14ac:dyDescent="0.15">
      <c r="A7" s="95">
        <v>5</v>
      </c>
      <c r="B7" s="96" t="e">
        <f>IF(ISBLANK($A7),0,IF(A6=A7,0,VLOOKUP($A7,入力シート!$A$7:$J$21,3,FALSE)))</f>
        <v>#REF!</v>
      </c>
      <c r="C7" s="97" t="e">
        <f>IF(ISBLANK($A7),0,IF($A6=$A7,0,VLOOKUP($A7,入力シート!$A$7:$J$21,4,FALSE)))</f>
        <v>#REF!</v>
      </c>
      <c r="D7" s="91" t="e">
        <f>IF(ISBLANK($A7),0,IF($A6=$A7,0,VLOOKUP($A7,入力シート!$A$7:$J$21,6,FALSE)))</f>
        <v>#REF!</v>
      </c>
      <c r="E7" s="98" t="e">
        <f>IF(ISBLANK($A7),0,IF($A6=$A7,0,VLOOKUP($A7,入力シート!$A$7:$J$21,7,FALSE)))</f>
        <v>#REF!</v>
      </c>
      <c r="F7" s="92" t="e">
        <f>IF(ISBLANK($A7),0,IF($A4=$A7,VLOOKUP($A7,入力シート!$A$7:$J$21,15,FALSE),IF($A5=$A7,VLOOKUP($A7,入力シート!$A$7:$J$21,13,FALSE),IF($A6=$A7,VLOOKUP($A7,入力シート!$A$7:$J$21,11,FALSE),VLOOKUP($A7,入力シート!$A$7:$J$21,9,FALSE)))))</f>
        <v>#REF!</v>
      </c>
      <c r="G7" s="92" t="e">
        <f>IF(ISBLANK($A7),0,IF($A4=$A7,VLOOKUP($A7,入力シート!$A$7:$J$21,14,FALSE),IF($A5=$A7,VLOOKUP($A7,入力シート!$A$7:$J$21,12,FALSE),IF($A6=$A7,VLOOKUP($A7,入力シート!$A$7:$J$21,10,FALSE),VLOOKUP($A7,入力シート!$A$7:$J$21,8,FALSE)))))</f>
        <v>#REF!</v>
      </c>
      <c r="H7" s="93"/>
      <c r="I7" s="93"/>
      <c r="J7" s="93"/>
      <c r="K7" s="93"/>
      <c r="L7" s="94"/>
    </row>
    <row r="8" spans="1:12" ht="36.75" customHeight="1" x14ac:dyDescent="0.15">
      <c r="A8" s="9">
        <v>6</v>
      </c>
      <c r="B8" s="52" t="e">
        <f>IF(ISBLANK($A8),0,IF(A7=A8,0,VLOOKUP($A8,入力シート!$A$7:$J$21,3,FALSE)))</f>
        <v>#REF!</v>
      </c>
      <c r="C8" s="53" t="e">
        <f>IF(ISBLANK($A8),0,IF($A7=$A8,0,VLOOKUP($A8,入力シート!$A$7:$J$21,4,FALSE)))</f>
        <v>#REF!</v>
      </c>
      <c r="D8" s="33" t="e">
        <f>IF(ISBLANK($A8),0,IF($A7=$A8,0,VLOOKUP($A8,入力シート!$A$7:$J$21,6,FALSE)))</f>
        <v>#REF!</v>
      </c>
      <c r="E8" s="54" t="e">
        <f>IF(ISBLANK($A8),0,IF($A7=$A8,0,VLOOKUP($A8,入力シート!$A$7:$J$21,7,FALSE)))</f>
        <v>#REF!</v>
      </c>
      <c r="F8" s="55" t="e">
        <f>IF(ISBLANK($A8),0,IF($A5=$A8,VLOOKUP($A8,入力シート!$A$7:$J$21,15,FALSE),IF($A6=$A8,VLOOKUP($A8,入力シート!$A$7:$J$21,13,FALSE),IF($A7=$A8,VLOOKUP($A8,入力シート!$A$7:$J$21,11,FALSE),VLOOKUP($A8,入力シート!$A$7:$J$21,9,FALSE)))))</f>
        <v>#REF!</v>
      </c>
      <c r="G8" s="55" t="e">
        <f>IF(ISBLANK($A8),0,IF($A5=$A8,VLOOKUP($A8,入力シート!$A$7:$J$21,14,FALSE),IF($A6=$A8,VLOOKUP($A8,入力シート!$A$7:$J$21,12,FALSE),IF($A7=$A8,VLOOKUP($A8,入力シート!$A$7:$J$21,10,FALSE),VLOOKUP($A8,入力シート!$A$7:$J$21,8,FALSE)))))</f>
        <v>#REF!</v>
      </c>
      <c r="H8" s="26"/>
      <c r="I8" s="26"/>
      <c r="J8" s="26"/>
      <c r="K8" s="26"/>
      <c r="L8" s="14"/>
    </row>
    <row r="9" spans="1:12" s="95" customFormat="1" ht="36.75" customHeight="1" x14ac:dyDescent="0.15">
      <c r="A9" s="95">
        <v>7</v>
      </c>
      <c r="B9" s="96">
        <f>IF(ISBLANK($A9),0,IF(A8=A9,0,VLOOKUP($A9,入力シート!$A$7:$J$21,3,FALSE)))</f>
        <v>0</v>
      </c>
      <c r="C9" s="97">
        <f>IF(ISBLANK($A9),0,IF($A8=$A9,0,VLOOKUP($A9,入力シート!$A$7:$J$21,4,FALSE)))</f>
        <v>0</v>
      </c>
      <c r="D9" s="91">
        <f>IF(ISBLANK($A9),0,IF($A8=$A9,0,VLOOKUP($A9,入力シート!$A$7:$J$21,6,FALSE)))</f>
        <v>0</v>
      </c>
      <c r="E9" s="98">
        <f>IF(ISBLANK($A9),0,IF($A8=$A9,0,VLOOKUP($A9,入力シート!$A$7:$J$21,7,FALSE)))</f>
        <v>0</v>
      </c>
      <c r="F9" s="92">
        <f>IF(ISBLANK($A9),0,IF($A6=$A9,VLOOKUP($A9,入力シート!$A$7:$J$21,15,FALSE),IF($A7=$A9,VLOOKUP($A9,入力シート!$A$7:$J$21,13,FALSE),IF($A8=$A9,VLOOKUP($A9,入力シート!$A$7:$J$21,11,FALSE),VLOOKUP($A9,入力シート!$A$7:$J$21,9,FALSE)))))</f>
        <v>0</v>
      </c>
      <c r="G9" s="92">
        <f>IF(ISBLANK($A9),0,IF($A6=$A9,VLOOKUP($A9,入力シート!$A$7:$J$21,14,FALSE),IF($A7=$A9,VLOOKUP($A9,入力シート!$A$7:$J$21,12,FALSE),IF($A8=$A9,VLOOKUP($A9,入力シート!$A$7:$J$21,10,FALSE),VLOOKUP($A9,入力シート!$A$7:$J$21,8,FALSE)))))</f>
        <v>0</v>
      </c>
      <c r="H9" s="93"/>
      <c r="I9" s="93"/>
      <c r="J9" s="93"/>
      <c r="K9" s="93"/>
      <c r="L9" s="94"/>
    </row>
    <row r="10" spans="1:12" ht="36.75" customHeight="1" x14ac:dyDescent="0.15">
      <c r="A10" s="9">
        <v>8</v>
      </c>
      <c r="B10" s="52">
        <f>IF(ISBLANK($A10),0,IF(A9=A10,0,VLOOKUP($A10,入力シート!$A$7:$J$21,3,FALSE)))</f>
        <v>0</v>
      </c>
      <c r="C10" s="53">
        <f>IF(ISBLANK($A10),0,IF($A9=$A10,0,VLOOKUP($A10,入力シート!$A$7:$J$21,4,FALSE)))</f>
        <v>0</v>
      </c>
      <c r="D10" s="33">
        <f>IF(ISBLANK($A10),0,IF($A9=$A10,0,VLOOKUP($A10,入力シート!$A$7:$J$21,6,FALSE)))</f>
        <v>0</v>
      </c>
      <c r="E10" s="54">
        <f>IF(ISBLANK($A10),0,IF($A9=$A10,0,VLOOKUP($A10,入力シート!$A$7:$J$21,7,FALSE)))</f>
        <v>0</v>
      </c>
      <c r="F10" s="55">
        <f>IF(ISBLANK($A10),0,IF($A7=$A10,VLOOKUP($A10,入力シート!$A$7:$J$21,15,FALSE),IF($A8=$A10,VLOOKUP($A10,入力シート!$A$7:$J$21,13,FALSE),IF($A9=$A10,VLOOKUP($A10,入力シート!$A$7:$J$21,11,FALSE),VLOOKUP($A10,入力シート!$A$7:$J$21,9,FALSE)))))</f>
        <v>0</v>
      </c>
      <c r="G10" s="55">
        <f>IF(ISBLANK($A10),0,IF($A7=$A10,VLOOKUP($A10,入力シート!$A$7:$J$21,14,FALSE),IF($A8=$A10,VLOOKUP($A10,入力シート!$A$7:$J$21,12,FALSE),IF($A9=$A10,VLOOKUP($A10,入力シート!$A$7:$J$21,10,FALSE),VLOOKUP($A10,入力シート!$A$7:$J$21,8,FALSE)))))</f>
        <v>0</v>
      </c>
      <c r="H10" s="26"/>
      <c r="I10" s="26"/>
      <c r="J10" s="26"/>
      <c r="K10" s="26"/>
      <c r="L10" s="14"/>
    </row>
    <row r="11" spans="1:12" s="95" customFormat="1" ht="36.75" customHeight="1" x14ac:dyDescent="0.15">
      <c r="A11" s="95">
        <v>9</v>
      </c>
      <c r="B11" s="96">
        <f>IF(ISBLANK($A11),0,IF(A10=A11,0,VLOOKUP($A11,入力シート!$A$7:$J$21,3,FALSE)))</f>
        <v>0</v>
      </c>
      <c r="C11" s="97">
        <f>IF(ISBLANK($A11),0,IF($A10=$A11,0,VLOOKUP($A11,入力シート!$A$7:$J$21,4,FALSE)))</f>
        <v>0</v>
      </c>
      <c r="D11" s="91">
        <f>IF(ISBLANK($A11),0,IF($A10=$A11,0,VLOOKUP($A11,入力シート!$A$7:$J$21,6,FALSE)))</f>
        <v>0</v>
      </c>
      <c r="E11" s="98">
        <f>IF(ISBLANK($A11),0,IF($A10=$A11,0,VLOOKUP($A11,入力シート!$A$7:$J$21,7,FALSE)))</f>
        <v>0</v>
      </c>
      <c r="F11" s="92">
        <f>IF(ISBLANK($A11),0,IF($A8=$A11,VLOOKUP($A11,入力シート!$A$7:$J$21,15,FALSE),IF($A9=$A11,VLOOKUP($A11,入力シート!$A$7:$J$21,13,FALSE),IF($A10=$A11,VLOOKUP($A11,入力シート!$A$7:$J$21,11,FALSE),VLOOKUP($A11,入力シート!$A$7:$J$21,9,FALSE)))))</f>
        <v>0</v>
      </c>
      <c r="G11" s="92">
        <f>IF(ISBLANK($A11),0,IF($A8=$A11,VLOOKUP($A11,入力シート!$A$7:$J$21,14,FALSE),IF($A9=$A11,VLOOKUP($A11,入力シート!$A$7:$J$21,12,FALSE),IF($A10=$A11,VLOOKUP($A11,入力シート!$A$7:$J$21,10,FALSE),VLOOKUP($A11,入力シート!$A$7:$J$21,8,FALSE)))))</f>
        <v>0</v>
      </c>
      <c r="H11" s="93"/>
      <c r="I11" s="93"/>
      <c r="J11" s="93"/>
      <c r="K11" s="93"/>
      <c r="L11" s="94"/>
    </row>
    <row r="12" spans="1:12" ht="36.75" customHeight="1" x14ac:dyDescent="0.15">
      <c r="A12" s="9">
        <v>10</v>
      </c>
      <c r="B12" s="52">
        <f>IF(ISBLANK($A12),0,IF(A11=A12,0,VLOOKUP($A12,入力シート!$A$7:$J$21,3,FALSE)))</f>
        <v>0</v>
      </c>
      <c r="C12" s="53">
        <f>IF(ISBLANK($A12),0,IF($A11=$A12,0,VLOOKUP($A12,入力シート!$A$7:$J$21,4,FALSE)))</f>
        <v>0</v>
      </c>
      <c r="D12" s="33">
        <f>IF(ISBLANK($A12),0,IF($A11=$A12,0,VLOOKUP($A12,入力シート!$A$7:$J$21,6,FALSE)))</f>
        <v>0</v>
      </c>
      <c r="E12" s="54">
        <f>IF(ISBLANK($A12),0,IF($A11=$A12,0,VLOOKUP($A12,入力シート!$A$7:$J$21,7,FALSE)))</f>
        <v>0</v>
      </c>
      <c r="F12" s="55">
        <f>IF(ISBLANK($A12),0,IF($A9=$A12,VLOOKUP($A12,入力シート!$A$7:$J$21,15,FALSE),IF($A10=$A12,VLOOKUP($A12,入力シート!$A$7:$J$21,13,FALSE),IF($A11=$A12,VLOOKUP($A12,入力シート!$A$7:$J$21,11,FALSE),VLOOKUP($A12,入力シート!$A$7:$J$21,9,FALSE)))))</f>
        <v>0</v>
      </c>
      <c r="G12" s="55">
        <f>IF(ISBLANK($A12),0,IF($A9=$A12,VLOOKUP($A12,入力シート!$A$7:$J$21,14,FALSE),IF($A10=$A12,VLOOKUP($A12,入力シート!$A$7:$J$21,12,FALSE),IF($A11=$A12,VLOOKUP($A12,入力シート!$A$7:$J$21,10,FALSE),VLOOKUP($A12,入力シート!$A$7:$J$21,8,FALSE)))))</f>
        <v>0</v>
      </c>
      <c r="H12" s="26"/>
      <c r="I12" s="26"/>
      <c r="J12" s="26"/>
      <c r="K12" s="26"/>
      <c r="L12" s="14"/>
    </row>
    <row r="13" spans="1:12" s="95" customFormat="1" ht="36.75" customHeight="1" x14ac:dyDescent="0.15">
      <c r="A13" s="95">
        <v>11</v>
      </c>
      <c r="B13" s="96">
        <f>IF(ISBLANK($A13),0,IF(A12=A13,0,VLOOKUP($A13,入力シート!$A$7:$J$21,3,FALSE)))</f>
        <v>0</v>
      </c>
      <c r="C13" s="97">
        <f>IF(ISBLANK($A13),0,IF($A12=$A13,0,VLOOKUP($A13,入力シート!$A$7:$J$21,4,FALSE)))</f>
        <v>0</v>
      </c>
      <c r="D13" s="91">
        <f>IF(ISBLANK($A13),0,IF($A12=$A13,0,VLOOKUP($A13,入力シート!$A$7:$J$21,6,FALSE)))</f>
        <v>0</v>
      </c>
      <c r="E13" s="98">
        <f>IF(ISBLANK($A13),0,IF($A12=$A13,0,VLOOKUP($A13,入力シート!$A$7:$J$21,7,FALSE)))</f>
        <v>0</v>
      </c>
      <c r="F13" s="92">
        <f>IF(ISBLANK($A13),0,IF($A10=$A13,VLOOKUP($A13,入力シート!$A$7:$J$21,15,FALSE),IF($A11=$A13,VLOOKUP($A13,入力シート!$A$7:$J$21,13,FALSE),IF($A12=$A13,VLOOKUP($A13,入力シート!$A$7:$J$21,11,FALSE),VLOOKUP($A13,入力シート!$A$7:$J$21,9,FALSE)))))</f>
        <v>0</v>
      </c>
      <c r="G13" s="92">
        <f>IF(ISBLANK($A13),0,IF($A10=$A13,VLOOKUP($A13,入力シート!$A$7:$J$21,14,FALSE),IF($A11=$A13,VLOOKUP($A13,入力シート!$A$7:$J$21,12,FALSE),IF($A12=$A13,VLOOKUP($A13,入力シート!$A$7:$J$21,10,FALSE),VLOOKUP($A13,入力シート!$A$7:$J$21,8,FALSE)))))</f>
        <v>0</v>
      </c>
      <c r="H13" s="93"/>
      <c r="I13" s="93"/>
      <c r="J13" s="93"/>
      <c r="K13" s="93"/>
      <c r="L13" s="94"/>
    </row>
    <row r="14" spans="1:12" ht="36.75" customHeight="1" x14ac:dyDescent="0.15">
      <c r="A14" s="9">
        <v>12</v>
      </c>
      <c r="B14" s="52">
        <f>IF(ISBLANK($A14),0,IF(A13=A14,0,VLOOKUP($A14,入力シート!$A$7:$J$21,3,FALSE)))</f>
        <v>0</v>
      </c>
      <c r="C14" s="53">
        <f>IF(ISBLANK($A14),0,IF($A13=$A14,0,VLOOKUP($A14,入力シート!$A$7:$J$21,4,FALSE)))</f>
        <v>0</v>
      </c>
      <c r="D14" s="33">
        <f>IF(ISBLANK($A14),0,IF($A13=$A14,0,VLOOKUP($A14,入力シート!$A$7:$J$21,6,FALSE)))</f>
        <v>0</v>
      </c>
      <c r="E14" s="54">
        <f>IF(ISBLANK($A14),0,IF($A13=$A14,0,VLOOKUP($A14,入力シート!$A$7:$J$21,7,FALSE)))</f>
        <v>0</v>
      </c>
      <c r="F14" s="55">
        <f>IF(ISBLANK($A14),0,IF($A11=$A14,VLOOKUP($A14,入力シート!$A$7:$J$21,15,FALSE),IF($A12=$A14,VLOOKUP($A14,入力シート!$A$7:$J$21,13,FALSE),IF($A13=$A14,VLOOKUP($A14,入力シート!$A$7:$J$21,11,FALSE),VLOOKUP($A14,入力シート!$A$7:$J$21,9,FALSE)))))</f>
        <v>0</v>
      </c>
      <c r="G14" s="55">
        <f>IF(ISBLANK($A14),0,IF($A11=$A14,VLOOKUP($A14,入力シート!$A$7:$J$21,14,FALSE),IF($A12=$A14,VLOOKUP($A14,入力シート!$A$7:$J$21,12,FALSE),IF($A13=$A14,VLOOKUP($A14,入力シート!$A$7:$J$21,10,FALSE),VLOOKUP($A14,入力シート!$A$7:$J$21,8,FALSE)))))</f>
        <v>0</v>
      </c>
      <c r="H14" s="26"/>
      <c r="I14" s="26"/>
      <c r="J14" s="26"/>
      <c r="K14" s="26"/>
      <c r="L14" s="14"/>
    </row>
    <row r="15" spans="1:12" s="95" customFormat="1" ht="36.75" customHeight="1" x14ac:dyDescent="0.15">
      <c r="A15" s="95">
        <v>13</v>
      </c>
      <c r="B15" s="96">
        <f>IF(ISBLANK($A15),0,IF(A14=A15,0,VLOOKUP($A15,入力シート!$A$7:$J$21,3,FALSE)))</f>
        <v>0</v>
      </c>
      <c r="C15" s="97">
        <f>IF(ISBLANK($A15),0,IF($A14=$A15,0,VLOOKUP($A15,入力シート!$A$7:$J$21,4,FALSE)))</f>
        <v>0</v>
      </c>
      <c r="D15" s="91">
        <f>IF(ISBLANK($A15),0,IF($A14=$A15,0,VLOOKUP($A15,入力シート!$A$7:$J$21,6,FALSE)))</f>
        <v>0</v>
      </c>
      <c r="E15" s="98">
        <f>IF(ISBLANK($A15),0,IF($A14=$A15,0,VLOOKUP($A15,入力シート!$A$7:$J$21,7,FALSE)))</f>
        <v>0</v>
      </c>
      <c r="F15" s="92">
        <f>IF(ISBLANK($A15),0,IF($A12=$A15,VLOOKUP($A15,入力シート!$A$7:$J$21,15,FALSE),IF($A13=$A15,VLOOKUP($A15,入力シート!$A$7:$J$21,13,FALSE),IF($A14=$A15,VLOOKUP($A15,入力シート!$A$7:$J$21,11,FALSE),VLOOKUP($A15,入力シート!$A$7:$J$21,9,FALSE)))))</f>
        <v>0</v>
      </c>
      <c r="G15" s="92">
        <f>IF(ISBLANK($A15),0,IF($A12=$A15,VLOOKUP($A15,入力シート!$A$7:$J$21,14,FALSE),IF($A13=$A15,VLOOKUP($A15,入力シート!$A$7:$J$21,12,FALSE),IF($A14=$A15,VLOOKUP($A15,入力シート!$A$7:$J$21,10,FALSE),VLOOKUP($A15,入力シート!$A$7:$J$21,8,FALSE)))))</f>
        <v>0</v>
      </c>
      <c r="H15" s="93"/>
      <c r="I15" s="93"/>
      <c r="J15" s="93"/>
      <c r="K15" s="93"/>
      <c r="L15" s="94"/>
    </row>
  </sheetData>
  <mergeCells count="1">
    <mergeCell ref="B1:L1"/>
  </mergeCells>
  <phoneticPr fontId="2"/>
  <printOptions horizontalCentered="1"/>
  <pageMargins left="0.59055118110236227" right="0.43" top="0.61" bottom="0.38" header="0.51181102362204722" footer="0.51181102362204722"/>
  <pageSetup paperSize="9" orientation="landscape" horizontalDpi="4294967292"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4"/>
  <sheetViews>
    <sheetView showZeros="0" zoomScale="85" workbookViewId="0">
      <selection activeCell="A15" sqref="A15"/>
    </sheetView>
  </sheetViews>
  <sheetFormatPr defaultRowHeight="13.5" x14ac:dyDescent="0.15"/>
  <cols>
    <col min="1" max="1" width="7.375" style="9" customWidth="1"/>
    <col min="2" max="2" width="15.75" style="13" customWidth="1"/>
    <col min="3" max="3" width="12.75" style="13" customWidth="1"/>
    <col min="4" max="4" width="16" style="9" customWidth="1"/>
    <col min="5" max="5" width="34.625" style="9" customWidth="1"/>
    <col min="6" max="6" width="25.625" style="9" customWidth="1"/>
    <col min="7" max="7" width="24.75" style="9" customWidth="1"/>
    <col min="8" max="16384" width="9" style="9"/>
  </cols>
  <sheetData>
    <row r="1" spans="1:7" ht="34.5" customHeight="1" thickBot="1" x14ac:dyDescent="0.2">
      <c r="B1" s="28"/>
      <c r="C1" s="146" t="s">
        <v>60</v>
      </c>
      <c r="D1" s="146"/>
      <c r="E1" s="146"/>
      <c r="F1" s="146"/>
      <c r="G1" s="40"/>
    </row>
    <row r="2" spans="1:7" ht="33" customHeight="1" x14ac:dyDescent="0.15">
      <c r="B2" s="41" t="s">
        <v>1</v>
      </c>
      <c r="C2" s="143" t="e">
        <f>入力シート!C7</f>
        <v>#REF!</v>
      </c>
      <c r="D2" s="144"/>
      <c r="E2" s="144"/>
      <c r="F2" s="145"/>
      <c r="G2" s="42" t="s">
        <v>94</v>
      </c>
    </row>
    <row r="3" spans="1:7" ht="34.5" customHeight="1" x14ac:dyDescent="0.15">
      <c r="B3" s="43" t="s">
        <v>2</v>
      </c>
      <c r="C3" s="25" t="s">
        <v>3</v>
      </c>
      <c r="D3" s="25" t="s">
        <v>39</v>
      </c>
      <c r="E3" s="25" t="s">
        <v>62</v>
      </c>
      <c r="F3" s="25" t="s">
        <v>20</v>
      </c>
      <c r="G3" s="44" t="s">
        <v>61</v>
      </c>
    </row>
    <row r="4" spans="1:7" ht="36.75" customHeight="1" x14ac:dyDescent="0.15">
      <c r="A4" s="9">
        <v>1</v>
      </c>
      <c r="B4" s="45" t="e">
        <f>IF(ISBLANK($A4),0,VLOOKUP($A4,入力シート!$A$7:$J$21,4,FALSE))</f>
        <v>#REF!</v>
      </c>
      <c r="C4" s="33" t="e">
        <f>IF(ISBLANK($A4),0,VLOOKUP($A4,入力シート!$A$7:$J$21,6,FALSE))</f>
        <v>#REF!</v>
      </c>
      <c r="D4" s="29" t="e">
        <f>IF(ISBLANK(A4),0,VLOOKUP(A4,入力シート!$A$7:$J$21,7,FALSE))</f>
        <v>#REF!</v>
      </c>
      <c r="E4" s="30" t="e">
        <f>IF(ISBLANK($A4),0,VLOOKUP($A4,入力シート!$A$7:$J$21,8,FALSE))</f>
        <v>#REF!</v>
      </c>
      <c r="F4" s="30" t="e">
        <f>IF(ISBLANK($A4),0,VLOOKUP($A4,入力シート!$A$7:$J$21,9,FALSE))</f>
        <v>#REF!</v>
      </c>
      <c r="G4" s="46"/>
    </row>
    <row r="5" spans="1:7" ht="36.75" customHeight="1" x14ac:dyDescent="0.15">
      <c r="A5" s="9">
        <v>2</v>
      </c>
      <c r="B5" s="45" t="e">
        <f>IF(ISBLANK($A5),0,VLOOKUP($A5,入力シート!$A$7:$J$21,4,FALSE))</f>
        <v>#REF!</v>
      </c>
      <c r="C5" s="33" t="e">
        <f>IF(ISBLANK($A5),0,VLOOKUP($A5,入力シート!$A$7:$J$21,6,FALSE))</f>
        <v>#REF!</v>
      </c>
      <c r="D5" s="29" t="e">
        <f>IF(ISBLANK(A5),0,VLOOKUP(A5,入力シート!$A$7:$J$21,7,FALSE))</f>
        <v>#REF!</v>
      </c>
      <c r="E5" s="30" t="e">
        <f>IF(ISBLANK($A5),0,VLOOKUP($A5,入力シート!$A$7:$J$21,8,FALSE))</f>
        <v>#REF!</v>
      </c>
      <c r="F5" s="30" t="e">
        <f>IF(ISBLANK($A5),0,VLOOKUP($A5,入力シート!$A$7:$J$21,9,FALSE))</f>
        <v>#REF!</v>
      </c>
      <c r="G5" s="46"/>
    </row>
    <row r="6" spans="1:7" ht="36.75" customHeight="1" x14ac:dyDescent="0.15">
      <c r="A6" s="9">
        <v>3</v>
      </c>
      <c r="B6" s="45" t="e">
        <f>IF(ISBLANK($A6),0,VLOOKUP($A6,入力シート!$A$7:$J$21,4,FALSE))</f>
        <v>#REF!</v>
      </c>
      <c r="C6" s="33" t="e">
        <f>IF(ISBLANK($A6),0,VLOOKUP($A6,入力シート!$A$7:$J$21,6,FALSE))</f>
        <v>#REF!</v>
      </c>
      <c r="D6" s="29" t="e">
        <f>IF(ISBLANK(A6),0,VLOOKUP(A6,入力シート!$A$7:$J$21,7,FALSE))</f>
        <v>#REF!</v>
      </c>
      <c r="E6" s="30" t="e">
        <f>IF(ISBLANK($A6),0,VLOOKUP($A6,入力シート!$A$7:$J$21,8,FALSE))</f>
        <v>#REF!</v>
      </c>
      <c r="F6" s="30" t="e">
        <f>IF(ISBLANK($A6),0,VLOOKUP($A6,入力シート!$A$7:$J$21,9,FALSE))</f>
        <v>#REF!</v>
      </c>
      <c r="G6" s="46"/>
    </row>
    <row r="7" spans="1:7" ht="36.75" customHeight="1" x14ac:dyDescent="0.15">
      <c r="A7" s="9">
        <v>4</v>
      </c>
      <c r="B7" s="45" t="e">
        <f>IF(ISBLANK($A7),0,VLOOKUP($A7,入力シート!$A$7:$J$21,4,FALSE))</f>
        <v>#REF!</v>
      </c>
      <c r="C7" s="33" t="e">
        <f>IF(ISBLANK($A7),0,VLOOKUP($A7,入力シート!$A$7:$J$21,6,FALSE))</f>
        <v>#REF!</v>
      </c>
      <c r="D7" s="29" t="e">
        <f>IF(ISBLANK(A7),0,VLOOKUP(A7,入力シート!$A$7:$J$21,7,FALSE))</f>
        <v>#REF!</v>
      </c>
      <c r="E7" s="30" t="e">
        <f>IF(ISBLANK($A7),0,VLOOKUP($A7,入力シート!$A$7:$J$21,8,FALSE))</f>
        <v>#REF!</v>
      </c>
      <c r="F7" s="30" t="e">
        <f>IF(ISBLANK($A7),0,VLOOKUP($A7,入力シート!$A$7:$J$21,9,FALSE))</f>
        <v>#REF!</v>
      </c>
      <c r="G7" s="46"/>
    </row>
    <row r="8" spans="1:7" ht="36.75" customHeight="1" x14ac:dyDescent="0.15">
      <c r="A8" s="9">
        <v>5</v>
      </c>
      <c r="B8" s="45" t="e">
        <f>IF(ISBLANK($A8),0,VLOOKUP($A8,入力シート!$A$7:$J$21,4,FALSE))</f>
        <v>#REF!</v>
      </c>
      <c r="C8" s="33" t="e">
        <f>IF(ISBLANK($A8),0,VLOOKUP($A8,入力シート!$A$7:$J$21,6,FALSE))</f>
        <v>#REF!</v>
      </c>
      <c r="D8" s="29" t="e">
        <f>IF(ISBLANK(A8),0,VLOOKUP(A8,入力シート!$A$7:$J$21,7,FALSE))</f>
        <v>#REF!</v>
      </c>
      <c r="E8" s="30" t="e">
        <f>IF(ISBLANK($A8),0,VLOOKUP($A8,入力シート!$A$7:$J$21,8,FALSE))</f>
        <v>#REF!</v>
      </c>
      <c r="F8" s="30" t="e">
        <f>IF(ISBLANK($A8),0,VLOOKUP($A8,入力シート!$A$7:$J$21,9,FALSE))</f>
        <v>#REF!</v>
      </c>
      <c r="G8" s="46"/>
    </row>
    <row r="9" spans="1:7" ht="36.75" customHeight="1" x14ac:dyDescent="0.15">
      <c r="A9" s="9">
        <v>6</v>
      </c>
      <c r="B9" s="45" t="e">
        <f>IF(ISBLANK($A9),0,VLOOKUP($A9,入力シート!$A$7:$J$21,4,FALSE))</f>
        <v>#REF!</v>
      </c>
      <c r="C9" s="33" t="e">
        <f>IF(ISBLANK($A9),0,VLOOKUP($A9,入力シート!$A$7:$J$21,6,FALSE))</f>
        <v>#REF!</v>
      </c>
      <c r="D9" s="29" t="e">
        <f>IF(ISBLANK(A9),0,VLOOKUP(A9,入力シート!$A$7:$J$21,7,FALSE))</f>
        <v>#REF!</v>
      </c>
      <c r="E9" s="30" t="e">
        <f>IF(ISBLANK($A9),0,VLOOKUP($A9,入力シート!$A$7:$J$21,8,FALSE))</f>
        <v>#REF!</v>
      </c>
      <c r="F9" s="30" t="e">
        <f>IF(ISBLANK($A9),0,VLOOKUP($A9,入力シート!$A$7:$J$21,9,FALSE))</f>
        <v>#REF!</v>
      </c>
      <c r="G9" s="46"/>
    </row>
    <row r="10" spans="1:7" ht="36.75" customHeight="1" x14ac:dyDescent="0.15">
      <c r="A10" s="9">
        <v>7</v>
      </c>
      <c r="B10" s="45">
        <f>IF(ISBLANK($A10),0,VLOOKUP($A10,入力シート!$A$7:$J$21,4,FALSE))</f>
        <v>0</v>
      </c>
      <c r="C10" s="33">
        <f>IF(ISBLANK($A10),0,VLOOKUP($A10,入力シート!$A$7:$J$21,6,FALSE))</f>
        <v>0</v>
      </c>
      <c r="D10" s="29">
        <f>IF(ISBLANK(A10),0,VLOOKUP(A10,入力シート!$A$7:$J$21,7,FALSE))</f>
        <v>0</v>
      </c>
      <c r="E10" s="30">
        <f>IF(ISBLANK($A10),0,VLOOKUP($A10,入力シート!$A$7:$J$21,8,FALSE))</f>
        <v>0</v>
      </c>
      <c r="F10" s="30">
        <f>IF(ISBLANK($A10),0,VLOOKUP($A10,入力シート!$A$7:$J$21,9,FALSE))</f>
        <v>0</v>
      </c>
      <c r="G10" s="46"/>
    </row>
    <row r="11" spans="1:7" ht="36.75" customHeight="1" x14ac:dyDescent="0.15">
      <c r="A11" s="9">
        <v>8</v>
      </c>
      <c r="B11" s="45">
        <f>IF(ISBLANK($A11),0,VLOOKUP($A11,入力シート!$A$7:$J$21,4,FALSE))</f>
        <v>0</v>
      </c>
      <c r="C11" s="33">
        <f>IF(ISBLANK($A11),0,VLOOKUP($A11,入力シート!$A$7:$J$21,6,FALSE))</f>
        <v>0</v>
      </c>
      <c r="D11" s="29">
        <f>IF(ISBLANK(A11),0,VLOOKUP(A11,入力シート!$A$7:$J$21,7,FALSE))</f>
        <v>0</v>
      </c>
      <c r="E11" s="30">
        <f>IF(ISBLANK($A11),0,VLOOKUP($A11,入力シート!$A$7:$J$21,8,FALSE))</f>
        <v>0</v>
      </c>
      <c r="F11" s="30">
        <f>IF(ISBLANK($A11),0,VLOOKUP($A11,入力シート!$A$7:$J$21,9,FALSE))</f>
        <v>0</v>
      </c>
      <c r="G11" s="46"/>
    </row>
    <row r="12" spans="1:7" ht="36.75" customHeight="1" x14ac:dyDescent="0.15">
      <c r="A12" s="9">
        <v>9</v>
      </c>
      <c r="B12" s="45">
        <f>IF(ISBLANK($A12),0,VLOOKUP($A12,入力シート!$A$7:$J$21,4,FALSE))</f>
        <v>0</v>
      </c>
      <c r="C12" s="33">
        <f>IF(ISBLANK($A12),0,VLOOKUP($A12,入力シート!$A$7:$J$21,6,FALSE))</f>
        <v>0</v>
      </c>
      <c r="D12" s="29">
        <f>IF(ISBLANK(A12),0,VLOOKUP(A12,入力シート!$A$7:$J$21,7,FALSE))</f>
        <v>0</v>
      </c>
      <c r="E12" s="30">
        <f>IF(ISBLANK($A12),0,VLOOKUP($A12,入力シート!$A$7:$J$21,8,FALSE))</f>
        <v>0</v>
      </c>
      <c r="F12" s="30">
        <f>IF(ISBLANK($A12),0,VLOOKUP($A12,入力シート!$A$7:$J$21,9,FALSE))</f>
        <v>0</v>
      </c>
      <c r="G12" s="46"/>
    </row>
    <row r="13" spans="1:7" ht="36.75" customHeight="1" x14ac:dyDescent="0.15">
      <c r="A13" s="9">
        <v>10</v>
      </c>
      <c r="B13" s="45">
        <f>IF(ISBLANK($A13),0,VLOOKUP($A13,入力シート!$A$7:$J$21,4,FALSE))</f>
        <v>0</v>
      </c>
      <c r="C13" s="33">
        <f>IF(ISBLANK($A13),0,VLOOKUP($A13,入力シート!$A$7:$J$21,6,FALSE))</f>
        <v>0</v>
      </c>
      <c r="D13" s="29">
        <f>IF(ISBLANK(A13),0,VLOOKUP(A13,入力シート!$A$7:$J$21,7,FALSE))</f>
        <v>0</v>
      </c>
      <c r="E13" s="30">
        <f>IF(ISBLANK($A13),0,VLOOKUP($A13,入力シート!$A$7:$J$21,8,FALSE))</f>
        <v>0</v>
      </c>
      <c r="F13" s="30">
        <f>IF(ISBLANK($A13),0,VLOOKUP($A13,入力シート!$A$7:$J$21,9,FALSE))</f>
        <v>0</v>
      </c>
      <c r="G13" s="46"/>
    </row>
    <row r="14" spans="1:7" ht="36.75" customHeight="1" thickBot="1" x14ac:dyDescent="0.2">
      <c r="A14" s="9">
        <v>11</v>
      </c>
      <c r="B14" s="47">
        <f>IF(ISBLANK($A14),0,VLOOKUP($A14,入力シート!$A$7:$J$21,4,FALSE))</f>
        <v>0</v>
      </c>
      <c r="C14" s="48">
        <f>IF(ISBLANK($A14),0,VLOOKUP($A14,入力シート!$A$7:$J$21,6,FALSE))</f>
        <v>0</v>
      </c>
      <c r="D14" s="49">
        <f>IF(ISBLANK(A14),0,VLOOKUP(A14,入力シート!$A$7:$J$21,7,FALSE))</f>
        <v>0</v>
      </c>
      <c r="E14" s="50">
        <f>IF(ISBLANK($A14),0,VLOOKUP($A14,入力シート!$A$7:$J$21,8,FALSE))</f>
        <v>0</v>
      </c>
      <c r="F14" s="50">
        <f>IF(ISBLANK($A14),0,VLOOKUP($A14,入力シート!$A$7:$J$21,9,FALSE))</f>
        <v>0</v>
      </c>
      <c r="G14" s="51"/>
    </row>
  </sheetData>
  <mergeCells count="2">
    <mergeCell ref="C2:F2"/>
    <mergeCell ref="C1:F1"/>
  </mergeCells>
  <phoneticPr fontId="2"/>
  <printOptions horizontalCentered="1"/>
  <pageMargins left="0.59055118110236227" right="0.43" top="0.98425196850393704" bottom="0.7" header="0.51181102362204722" footer="0.51181102362204722"/>
  <pageSetup paperSize="9" orientation="landscape" horizontalDpi="4294967292" verticalDpi="12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4"/>
  <sheetViews>
    <sheetView showZeros="0" zoomScale="85" workbookViewId="0">
      <selection activeCell="A15" sqref="A15"/>
    </sheetView>
  </sheetViews>
  <sheetFormatPr defaultRowHeight="13.5" x14ac:dyDescent="0.15"/>
  <cols>
    <col min="1" max="1" width="7.375" style="9" customWidth="1"/>
    <col min="2" max="2" width="15.75" style="13" customWidth="1"/>
    <col min="3" max="3" width="12.75" style="13" customWidth="1"/>
    <col min="4" max="4" width="16" style="9" customWidth="1"/>
    <col min="5" max="5" width="34.625" style="9" customWidth="1"/>
    <col min="6" max="6" width="25.625" style="9" customWidth="1"/>
    <col min="7" max="7" width="24.75" style="9" customWidth="1"/>
    <col min="8" max="16384" width="9" style="9"/>
  </cols>
  <sheetData>
    <row r="1" spans="1:7" ht="34.5" customHeight="1" thickBot="1" x14ac:dyDescent="0.2">
      <c r="B1" s="28"/>
      <c r="C1" s="146" t="s">
        <v>80</v>
      </c>
      <c r="D1" s="146"/>
      <c r="E1" s="146"/>
      <c r="F1" s="146"/>
      <c r="G1" s="40"/>
    </row>
    <row r="2" spans="1:7" ht="33" customHeight="1" x14ac:dyDescent="0.15">
      <c r="B2" s="41" t="s">
        <v>1</v>
      </c>
      <c r="C2" s="143" t="e">
        <f>入力シート!C7</f>
        <v>#REF!</v>
      </c>
      <c r="D2" s="144"/>
      <c r="E2" s="144"/>
      <c r="F2" s="145"/>
      <c r="G2" s="42" t="s">
        <v>94</v>
      </c>
    </row>
    <row r="3" spans="1:7" ht="34.5" customHeight="1" x14ac:dyDescent="0.15">
      <c r="B3" s="43" t="s">
        <v>2</v>
      </c>
      <c r="C3" s="25" t="s">
        <v>3</v>
      </c>
      <c r="D3" s="25" t="s">
        <v>39</v>
      </c>
      <c r="E3" s="25" t="s">
        <v>62</v>
      </c>
      <c r="F3" s="25" t="s">
        <v>20</v>
      </c>
      <c r="G3" s="44" t="s">
        <v>61</v>
      </c>
    </row>
    <row r="4" spans="1:7" ht="36.75" customHeight="1" x14ac:dyDescent="0.15">
      <c r="A4" s="9">
        <v>1</v>
      </c>
      <c r="B4" s="45" t="e">
        <f>IF(ISBLANK($A4),0,VLOOKUP($A4,入力シート!$A$7:$J$21,4,FALSE))</f>
        <v>#REF!</v>
      </c>
      <c r="C4" s="33" t="e">
        <f>IF(ISBLANK($A4),0,VLOOKUP($A4,入力シート!$A$7:$J$21,6,FALSE))</f>
        <v>#REF!</v>
      </c>
      <c r="D4" s="29" t="e">
        <f>IF(ISBLANK(A4),0,VLOOKUP(A4,入力シート!$A$7:$J$21,7,FALSE))</f>
        <v>#REF!</v>
      </c>
      <c r="E4" s="30" t="e">
        <f>IF(ISBLANK($A4),0,VLOOKUP($A4,入力シート!$A$7:$J$21,8,FALSE))</f>
        <v>#REF!</v>
      </c>
      <c r="F4" s="30" t="e">
        <f>IF(ISBLANK($A4),0,VLOOKUP($A4,入力シート!$A$7:$J$21,9,FALSE))</f>
        <v>#REF!</v>
      </c>
      <c r="G4" s="46"/>
    </row>
    <row r="5" spans="1:7" ht="36.75" customHeight="1" x14ac:dyDescent="0.15">
      <c r="A5" s="9">
        <v>2</v>
      </c>
      <c r="B5" s="45" t="e">
        <f>IF(ISBLANK($A5),0,VLOOKUP($A5,入力シート!$A$7:$J$21,4,FALSE))</f>
        <v>#REF!</v>
      </c>
      <c r="C5" s="33" t="e">
        <f>IF(ISBLANK($A5),0,VLOOKUP($A5,入力シート!$A$7:$J$21,6,FALSE))</f>
        <v>#REF!</v>
      </c>
      <c r="D5" s="29" t="e">
        <f>IF(ISBLANK(A5),0,VLOOKUP(A5,入力シート!$A$7:$J$21,7,FALSE))</f>
        <v>#REF!</v>
      </c>
      <c r="E5" s="30" t="e">
        <f>IF(ISBLANK($A5),0,VLOOKUP($A5,入力シート!$A$7:$J$21,8,FALSE))</f>
        <v>#REF!</v>
      </c>
      <c r="F5" s="30" t="e">
        <f>IF(ISBLANK($A5),0,VLOOKUP($A5,入力シート!$A$7:$J$21,9,FALSE))</f>
        <v>#REF!</v>
      </c>
      <c r="G5" s="46"/>
    </row>
    <row r="6" spans="1:7" ht="36.75" customHeight="1" x14ac:dyDescent="0.15">
      <c r="A6" s="9">
        <v>3</v>
      </c>
      <c r="B6" s="45" t="e">
        <f>IF(ISBLANK($A6),0,VLOOKUP($A6,入力シート!$A$7:$J$21,4,FALSE))</f>
        <v>#REF!</v>
      </c>
      <c r="C6" s="33" t="e">
        <f>IF(ISBLANK($A6),0,VLOOKUP($A6,入力シート!$A$7:$J$21,6,FALSE))</f>
        <v>#REF!</v>
      </c>
      <c r="D6" s="29" t="e">
        <f>IF(ISBLANK(A6),0,VLOOKUP(A6,入力シート!$A$7:$J$21,7,FALSE))</f>
        <v>#REF!</v>
      </c>
      <c r="E6" s="30" t="e">
        <f>IF(ISBLANK($A6),0,VLOOKUP($A6,入力シート!$A$7:$J$21,8,FALSE))</f>
        <v>#REF!</v>
      </c>
      <c r="F6" s="30" t="e">
        <f>IF(ISBLANK($A6),0,VLOOKUP($A6,入力シート!$A$7:$J$21,9,FALSE))</f>
        <v>#REF!</v>
      </c>
      <c r="G6" s="46"/>
    </row>
    <row r="7" spans="1:7" ht="36.75" customHeight="1" x14ac:dyDescent="0.15">
      <c r="A7" s="9">
        <v>4</v>
      </c>
      <c r="B7" s="45" t="e">
        <f>IF(ISBLANK($A7),0,VLOOKUP($A7,入力シート!$A$7:$J$21,4,FALSE))</f>
        <v>#REF!</v>
      </c>
      <c r="C7" s="33" t="e">
        <f>IF(ISBLANK($A7),0,VLOOKUP($A7,入力シート!$A$7:$J$21,6,FALSE))</f>
        <v>#REF!</v>
      </c>
      <c r="D7" s="29" t="e">
        <f>IF(ISBLANK(A7),0,VLOOKUP(A7,入力シート!$A$7:$J$21,7,FALSE))</f>
        <v>#REF!</v>
      </c>
      <c r="E7" s="30" t="e">
        <f>IF(ISBLANK($A7),0,VLOOKUP($A7,入力シート!$A$7:$J$21,8,FALSE))</f>
        <v>#REF!</v>
      </c>
      <c r="F7" s="30" t="e">
        <f>IF(ISBLANK($A7),0,VLOOKUP($A7,入力シート!$A$7:$J$21,9,FALSE))</f>
        <v>#REF!</v>
      </c>
      <c r="G7" s="46"/>
    </row>
    <row r="8" spans="1:7" ht="36.75" customHeight="1" x14ac:dyDescent="0.15">
      <c r="A8" s="9">
        <v>5</v>
      </c>
      <c r="B8" s="45" t="e">
        <f>IF(ISBLANK($A8),0,VLOOKUP($A8,入力シート!$A$7:$J$21,4,FALSE))</f>
        <v>#REF!</v>
      </c>
      <c r="C8" s="33" t="e">
        <f>IF(ISBLANK($A8),0,VLOOKUP($A8,入力シート!$A$7:$J$21,6,FALSE))</f>
        <v>#REF!</v>
      </c>
      <c r="D8" s="29" t="e">
        <f>IF(ISBLANK(A8),0,VLOOKUP(A8,入力シート!$A$7:$J$21,7,FALSE))</f>
        <v>#REF!</v>
      </c>
      <c r="E8" s="30" t="e">
        <f>IF(ISBLANK($A8),0,VLOOKUP($A8,入力シート!$A$7:$J$21,8,FALSE))</f>
        <v>#REF!</v>
      </c>
      <c r="F8" s="30" t="e">
        <f>IF(ISBLANK($A8),0,VLOOKUP($A8,入力シート!$A$7:$J$21,9,FALSE))</f>
        <v>#REF!</v>
      </c>
      <c r="G8" s="46"/>
    </row>
    <row r="9" spans="1:7" ht="36.75" customHeight="1" x14ac:dyDescent="0.15">
      <c r="A9" s="9">
        <v>6</v>
      </c>
      <c r="B9" s="45" t="e">
        <f>IF(ISBLANK($A9),0,VLOOKUP($A9,入力シート!$A$7:$J$21,4,FALSE))</f>
        <v>#REF!</v>
      </c>
      <c r="C9" s="33" t="e">
        <f>IF(ISBLANK($A9),0,VLOOKUP($A9,入力シート!$A$7:$J$21,6,FALSE))</f>
        <v>#REF!</v>
      </c>
      <c r="D9" s="29" t="e">
        <f>IF(ISBLANK(A9),0,VLOOKUP(A9,入力シート!$A$7:$J$21,7,FALSE))</f>
        <v>#REF!</v>
      </c>
      <c r="E9" s="30" t="e">
        <f>IF(ISBLANK($A9),0,VLOOKUP($A9,入力シート!$A$7:$J$21,8,FALSE))</f>
        <v>#REF!</v>
      </c>
      <c r="F9" s="30" t="e">
        <f>IF(ISBLANK($A9),0,VLOOKUP($A9,入力シート!$A$7:$J$21,9,FALSE))</f>
        <v>#REF!</v>
      </c>
      <c r="G9" s="46"/>
    </row>
    <row r="10" spans="1:7" ht="36.75" customHeight="1" x14ac:dyDescent="0.15">
      <c r="A10" s="9">
        <v>7</v>
      </c>
      <c r="B10" s="45">
        <f>IF(ISBLANK($A10),0,VLOOKUP($A10,入力シート!$A$7:$J$21,4,FALSE))</f>
        <v>0</v>
      </c>
      <c r="C10" s="33">
        <f>IF(ISBLANK($A10),0,VLOOKUP($A10,入力シート!$A$7:$J$21,6,FALSE))</f>
        <v>0</v>
      </c>
      <c r="D10" s="29">
        <f>IF(ISBLANK(A10),0,VLOOKUP(A10,入力シート!$A$7:$J$21,7,FALSE))</f>
        <v>0</v>
      </c>
      <c r="E10" s="30">
        <f>IF(ISBLANK($A10),0,VLOOKUP($A10,入力シート!$A$7:$J$21,8,FALSE))</f>
        <v>0</v>
      </c>
      <c r="F10" s="30">
        <f>IF(ISBLANK($A10),0,VLOOKUP($A10,入力シート!$A$7:$J$21,9,FALSE))</f>
        <v>0</v>
      </c>
      <c r="G10" s="46"/>
    </row>
    <row r="11" spans="1:7" ht="36.75" customHeight="1" x14ac:dyDescent="0.15">
      <c r="A11" s="9">
        <v>8</v>
      </c>
      <c r="B11" s="45">
        <f>IF(ISBLANK($A11),0,VLOOKUP($A11,入力シート!$A$7:$J$21,4,FALSE))</f>
        <v>0</v>
      </c>
      <c r="C11" s="33">
        <f>IF(ISBLANK($A11),0,VLOOKUP($A11,入力シート!$A$7:$J$21,6,FALSE))</f>
        <v>0</v>
      </c>
      <c r="D11" s="29">
        <f>IF(ISBLANK(A11),0,VLOOKUP(A11,入力シート!$A$7:$J$21,7,FALSE))</f>
        <v>0</v>
      </c>
      <c r="E11" s="30">
        <f>IF(ISBLANK($A11),0,VLOOKUP($A11,入力シート!$A$7:$J$21,8,FALSE))</f>
        <v>0</v>
      </c>
      <c r="F11" s="30">
        <f>IF(ISBLANK($A11),0,VLOOKUP($A11,入力シート!$A$7:$J$21,9,FALSE))</f>
        <v>0</v>
      </c>
      <c r="G11" s="46"/>
    </row>
    <row r="12" spans="1:7" ht="36.75" customHeight="1" x14ac:dyDescent="0.15">
      <c r="A12" s="9">
        <v>9</v>
      </c>
      <c r="B12" s="45">
        <f>IF(ISBLANK($A12),0,VLOOKUP($A12,入力シート!$A$7:$J$21,4,FALSE))</f>
        <v>0</v>
      </c>
      <c r="C12" s="33">
        <f>IF(ISBLANK($A12),0,VLOOKUP($A12,入力シート!$A$7:$J$21,6,FALSE))</f>
        <v>0</v>
      </c>
      <c r="D12" s="29">
        <f>IF(ISBLANK(A12),0,VLOOKUP(A12,入力シート!$A$7:$J$21,7,FALSE))</f>
        <v>0</v>
      </c>
      <c r="E12" s="30">
        <f>IF(ISBLANK($A12),0,VLOOKUP($A12,入力シート!$A$7:$J$21,8,FALSE))</f>
        <v>0</v>
      </c>
      <c r="F12" s="30">
        <f>IF(ISBLANK($A12),0,VLOOKUP($A12,入力シート!$A$7:$J$21,9,FALSE))</f>
        <v>0</v>
      </c>
      <c r="G12" s="46"/>
    </row>
    <row r="13" spans="1:7" ht="36.75" customHeight="1" x14ac:dyDescent="0.15">
      <c r="A13" s="9">
        <v>10</v>
      </c>
      <c r="B13" s="45">
        <f>IF(ISBLANK($A13),0,VLOOKUP($A13,入力シート!$A$7:$J$21,4,FALSE))</f>
        <v>0</v>
      </c>
      <c r="C13" s="33">
        <f>IF(ISBLANK($A13),0,VLOOKUP($A13,入力シート!$A$7:$J$21,6,FALSE))</f>
        <v>0</v>
      </c>
      <c r="D13" s="29">
        <f>IF(ISBLANK(A13),0,VLOOKUP(A13,入力シート!$A$7:$J$21,7,FALSE))</f>
        <v>0</v>
      </c>
      <c r="E13" s="30">
        <f>IF(ISBLANK($A13),0,VLOOKUP($A13,入力シート!$A$7:$J$21,8,FALSE))</f>
        <v>0</v>
      </c>
      <c r="F13" s="30">
        <f>IF(ISBLANK($A13),0,VLOOKUP($A13,入力シート!$A$7:$J$21,9,FALSE))</f>
        <v>0</v>
      </c>
      <c r="G13" s="46"/>
    </row>
    <row r="14" spans="1:7" ht="36.75" customHeight="1" thickBot="1" x14ac:dyDescent="0.2">
      <c r="A14" s="9">
        <v>11</v>
      </c>
      <c r="B14" s="47">
        <f>IF(ISBLANK($A14),0,VLOOKUP($A14,入力シート!$A$7:$J$21,4,FALSE))</f>
        <v>0</v>
      </c>
      <c r="C14" s="48">
        <f>IF(ISBLANK($A14),0,VLOOKUP($A14,入力シート!$A$7:$J$21,6,FALSE))</f>
        <v>0</v>
      </c>
      <c r="D14" s="49">
        <f>IF(ISBLANK(A14),0,VLOOKUP(A14,入力シート!$A$7:$J$21,7,FALSE))</f>
        <v>0</v>
      </c>
      <c r="E14" s="50">
        <f>IF(ISBLANK($A14),0,VLOOKUP($A14,入力シート!$A$7:$J$21,8,FALSE))</f>
        <v>0</v>
      </c>
      <c r="F14" s="50">
        <f>IF(ISBLANK($A14),0,VLOOKUP($A14,入力シート!$A$7:$J$21,9,FALSE))</f>
        <v>0</v>
      </c>
      <c r="G14" s="51"/>
    </row>
  </sheetData>
  <mergeCells count="2">
    <mergeCell ref="C1:F1"/>
    <mergeCell ref="C2:F2"/>
  </mergeCells>
  <phoneticPr fontId="2"/>
  <printOptions horizontalCentered="1"/>
  <pageMargins left="0.59055118110236227" right="0.43" top="0.98425196850393704" bottom="0.7" header="0.51181102362204722" footer="0.51181102362204722"/>
  <pageSetup paperSize="9" orientation="landscape" horizontalDpi="4294967292" verticalDpi="12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72116B-EFF4-48E9-A8E5-378C2F2DE8B4}">
  <dimension ref="A1:P32"/>
  <sheetViews>
    <sheetView showZeros="0" topLeftCell="A11" zoomScale="70" zoomScaleNormal="70" workbookViewId="0">
      <selection activeCell="A33" sqref="A33"/>
    </sheetView>
  </sheetViews>
  <sheetFormatPr defaultRowHeight="13.5" x14ac:dyDescent="0.15"/>
  <cols>
    <col min="1" max="1" width="9" style="106"/>
    <col min="2" max="2" width="18.625" style="106" customWidth="1"/>
    <col min="3" max="3" width="8.625" style="108" customWidth="1"/>
    <col min="4" max="6" width="8.625" style="106" customWidth="1"/>
    <col min="7" max="8" width="21.125" style="106" customWidth="1"/>
    <col min="9" max="9" width="21.75" style="106" customWidth="1"/>
    <col min="10" max="10" width="10" style="108" customWidth="1"/>
    <col min="11" max="12" width="10" style="106" customWidth="1"/>
    <col min="13" max="13" width="27.5" style="106" customWidth="1"/>
    <col min="14" max="14" width="12.5" style="106" customWidth="1"/>
    <col min="15" max="15" width="28.75" style="106" customWidth="1"/>
    <col min="16" max="16" width="15.375" style="106" customWidth="1"/>
    <col min="17" max="16384" width="9" style="106"/>
  </cols>
  <sheetData>
    <row r="1" spans="1:16" ht="34.5" customHeight="1" x14ac:dyDescent="0.15">
      <c r="B1" s="147" t="s">
        <v>21</v>
      </c>
      <c r="C1" s="147"/>
      <c r="D1" s="147"/>
      <c r="E1" s="147"/>
      <c r="F1" s="147"/>
      <c r="G1" s="147"/>
      <c r="H1" s="147"/>
      <c r="I1" s="107"/>
      <c r="J1" s="107"/>
      <c r="K1" s="107"/>
      <c r="L1" s="107"/>
      <c r="M1" s="107"/>
      <c r="N1" s="107"/>
      <c r="O1" s="107"/>
      <c r="P1" s="107"/>
    </row>
    <row r="2" spans="1:16" ht="33" customHeight="1" x14ac:dyDescent="0.15">
      <c r="G2" s="109"/>
      <c r="H2" s="109"/>
      <c r="M2" s="109"/>
      <c r="N2" s="109"/>
      <c r="O2" s="109"/>
      <c r="P2" s="109"/>
    </row>
    <row r="3" spans="1:16" ht="27.75" customHeight="1" x14ac:dyDescent="0.15">
      <c r="B3" s="148" t="s">
        <v>18</v>
      </c>
      <c r="C3" s="148" t="s">
        <v>2</v>
      </c>
      <c r="D3" s="148" t="s">
        <v>3</v>
      </c>
      <c r="E3" s="148" t="s">
        <v>4</v>
      </c>
      <c r="F3" s="149" t="s">
        <v>126</v>
      </c>
      <c r="G3" s="148" t="s">
        <v>20</v>
      </c>
      <c r="H3" s="110" t="s">
        <v>128</v>
      </c>
      <c r="I3" s="111"/>
      <c r="J3" s="111"/>
      <c r="K3" s="111"/>
      <c r="L3" s="111"/>
      <c r="M3" s="111"/>
      <c r="N3" s="111"/>
      <c r="O3" s="111"/>
      <c r="P3" s="111"/>
    </row>
    <row r="4" spans="1:16" ht="27.75" customHeight="1" x14ac:dyDescent="0.15">
      <c r="B4" s="148"/>
      <c r="C4" s="148"/>
      <c r="D4" s="148"/>
      <c r="E4" s="148"/>
      <c r="F4" s="149"/>
      <c r="G4" s="148"/>
      <c r="H4" s="110" t="s">
        <v>37</v>
      </c>
      <c r="O4" s="112"/>
      <c r="P4" s="108"/>
    </row>
    <row r="5" spans="1:16" ht="29.25" customHeight="1" x14ac:dyDescent="0.15">
      <c r="A5" s="152">
        <v>1</v>
      </c>
      <c r="B5" s="153" t="e">
        <f>IF(ISBLANK($A5), "", VLOOKUP($A5, 入力シート!$A$7:$J$1000, 3, FALSE))</f>
        <v>#REF!</v>
      </c>
      <c r="C5" s="154" t="e">
        <f>IF(ISBLANK($A5), "", VLOOKUP($A5, 入力シート!$A$7:$J$1000, 4, FALSE))</f>
        <v>#REF!</v>
      </c>
      <c r="D5" s="155" t="e">
        <f>IF(ISBLANK($A5), "", VLOOKUP($A5, 入力シート!$A$7:$J$1000, 6, FALSE))</f>
        <v>#REF!</v>
      </c>
      <c r="E5" s="155" t="e">
        <f>IF(ISBLANK($A5), "", VLOOKUP($A5, 入力シート!$A$7:$J$1000, 7, FALSE))</f>
        <v>#REF!</v>
      </c>
      <c r="F5" s="156" t="e">
        <f>IF(ISBLANK($A5), "", VLOOKUP($A5, 入力シート!$A$7:$J$1000, 10, FALSE))</f>
        <v>#REF!</v>
      </c>
      <c r="G5" s="150" t="e">
        <f>IF(ISBLANK($A5), "", VLOOKUP($A5, 入力シート!$A$7:$J$1000, 9, FALSE))</f>
        <v>#REF!</v>
      </c>
      <c r="H5" s="135" t="e">
        <f>IF(ISBLANK($A5), "", VLOOKUP($A5, 入力シート!$A$7:$J$1000, 8, FALSE))</f>
        <v>#REF!</v>
      </c>
    </row>
    <row r="6" spans="1:16" ht="29.25" customHeight="1" x14ac:dyDescent="0.15">
      <c r="A6" s="152"/>
      <c r="B6" s="153"/>
      <c r="C6" s="154"/>
      <c r="D6" s="155"/>
      <c r="E6" s="155"/>
      <c r="F6" s="156"/>
      <c r="G6" s="151"/>
      <c r="H6" s="115"/>
      <c r="O6" s="112"/>
      <c r="P6" s="108"/>
    </row>
    <row r="7" spans="1:16" ht="29.25" customHeight="1" x14ac:dyDescent="0.15">
      <c r="A7" s="152">
        <v>2</v>
      </c>
      <c r="B7" s="153" t="e">
        <f>IF(ISBLANK($A7), "", VLOOKUP($A7, 入力シート!$A$7:$J$1000, 3, FALSE))</f>
        <v>#REF!</v>
      </c>
      <c r="C7" s="154" t="e">
        <f>IF(ISBLANK($A7), "", VLOOKUP($A7, 入力シート!$A$7:$J$1000, 4, FALSE))</f>
        <v>#REF!</v>
      </c>
      <c r="D7" s="155" t="e">
        <f>IF(ISBLANK($A7), "", VLOOKUP($A7, 入力シート!$A$7:$J$1000, 6, FALSE))</f>
        <v>#REF!</v>
      </c>
      <c r="E7" s="155" t="e">
        <f>IF(ISBLANK($A7), "", VLOOKUP($A7, 入力シート!$A$7:$J$1000, 7, FALSE))</f>
        <v>#REF!</v>
      </c>
      <c r="F7" s="156" t="e">
        <f>IF(ISBLANK($A7), "", VLOOKUP($A7, 入力シート!$A$7:$J$1000, 10, FALSE))</f>
        <v>#REF!</v>
      </c>
      <c r="G7" s="150" t="e">
        <f>IF(ISBLANK($A7), "", VLOOKUP($A7, 入力シート!$A$7:$J$1000, 9, FALSE))</f>
        <v>#REF!</v>
      </c>
      <c r="H7" s="135" t="e">
        <f>IF(ISBLANK($A7), "", VLOOKUP($A7, 入力シート!$A$7:$J$1000, 8, FALSE))</f>
        <v>#REF!</v>
      </c>
    </row>
    <row r="8" spans="1:16" ht="29.25" customHeight="1" x14ac:dyDescent="0.15">
      <c r="A8" s="152"/>
      <c r="B8" s="153"/>
      <c r="C8" s="154"/>
      <c r="D8" s="155"/>
      <c r="E8" s="155"/>
      <c r="F8" s="156"/>
      <c r="G8" s="151"/>
      <c r="H8" s="115"/>
      <c r="O8" s="112"/>
      <c r="P8" s="108"/>
    </row>
    <row r="9" spans="1:16" ht="29.25" customHeight="1" x14ac:dyDescent="0.15">
      <c r="A9" s="152">
        <v>3</v>
      </c>
      <c r="B9" s="153" t="e">
        <f>IF(ISBLANK($A9), "", VLOOKUP($A9, 入力シート!$A$7:$J$1000, 3, FALSE))</f>
        <v>#REF!</v>
      </c>
      <c r="C9" s="154" t="e">
        <f>IF(ISBLANK($A9), "", VLOOKUP($A9, 入力シート!$A$7:$J$1000, 4, FALSE))</f>
        <v>#REF!</v>
      </c>
      <c r="D9" s="155" t="e">
        <f>IF(ISBLANK($A9), "", VLOOKUP($A9, 入力シート!$A$7:$J$1000, 6, FALSE))</f>
        <v>#REF!</v>
      </c>
      <c r="E9" s="155" t="e">
        <f>IF(ISBLANK($A9), "", VLOOKUP($A9, 入力シート!$A$7:$J$1000, 7, FALSE))</f>
        <v>#REF!</v>
      </c>
      <c r="F9" s="156" t="e">
        <f>IF(ISBLANK($A9), "", VLOOKUP($A9, 入力シート!$A$7:$J$1000, 10, FALSE))</f>
        <v>#REF!</v>
      </c>
      <c r="G9" s="150" t="e">
        <f>IF(ISBLANK($A9), "", VLOOKUP($A9, 入力シート!$A$7:$J$1000, 9, FALSE))</f>
        <v>#REF!</v>
      </c>
      <c r="H9" s="135" t="e">
        <f>IF(ISBLANK($A9), "", VLOOKUP($A9, 入力シート!$A$7:$J$1000, 8, FALSE))</f>
        <v>#REF!</v>
      </c>
    </row>
    <row r="10" spans="1:16" ht="29.25" customHeight="1" x14ac:dyDescent="0.15">
      <c r="A10" s="152"/>
      <c r="B10" s="153"/>
      <c r="C10" s="154"/>
      <c r="D10" s="155"/>
      <c r="E10" s="155"/>
      <c r="F10" s="156"/>
      <c r="G10" s="151"/>
      <c r="H10" s="115"/>
      <c r="O10" s="112"/>
      <c r="P10" s="108"/>
    </row>
    <row r="11" spans="1:16" ht="29.25" customHeight="1" x14ac:dyDescent="0.15">
      <c r="A11" s="152">
        <v>4</v>
      </c>
      <c r="B11" s="153" t="e">
        <f>IF(ISBLANK($A11), "", VLOOKUP($A11, 入力シート!$A$7:$J$1000, 3, FALSE))</f>
        <v>#REF!</v>
      </c>
      <c r="C11" s="154" t="e">
        <f>IF(ISBLANK($A11), "", VLOOKUP($A11, 入力シート!$A$7:$J$1000, 4, FALSE))</f>
        <v>#REF!</v>
      </c>
      <c r="D11" s="155" t="e">
        <f>IF(ISBLANK($A11), "", VLOOKUP($A11, 入力シート!$A$7:$J$1000, 6, FALSE))</f>
        <v>#REF!</v>
      </c>
      <c r="E11" s="155" t="e">
        <f>IF(ISBLANK($A11), "", VLOOKUP($A11, 入力シート!$A$7:$J$1000, 7, FALSE))</f>
        <v>#REF!</v>
      </c>
      <c r="F11" s="156" t="e">
        <f>IF(ISBLANK($A11), "", VLOOKUP($A11, 入力シート!$A$7:$J$1000, 10, FALSE))</f>
        <v>#REF!</v>
      </c>
      <c r="G11" s="150" t="e">
        <f>IF(ISBLANK($A11), "", VLOOKUP($A11, 入力シート!$A$7:$J$1000, 9, FALSE))</f>
        <v>#REF!</v>
      </c>
      <c r="H11" s="135" t="e">
        <f>IF(ISBLANK($A11), "", VLOOKUP($A11, 入力シート!$A$7:$J$1000, 8, FALSE))</f>
        <v>#REF!</v>
      </c>
    </row>
    <row r="12" spans="1:16" ht="29.25" customHeight="1" x14ac:dyDescent="0.15">
      <c r="A12" s="152"/>
      <c r="B12" s="153"/>
      <c r="C12" s="154"/>
      <c r="D12" s="155"/>
      <c r="E12" s="155"/>
      <c r="F12" s="156"/>
      <c r="G12" s="151"/>
      <c r="H12" s="115"/>
      <c r="O12" s="112"/>
      <c r="P12" s="108"/>
    </row>
    <row r="13" spans="1:16" ht="29.25" customHeight="1" x14ac:dyDescent="0.15">
      <c r="A13" s="152">
        <v>5</v>
      </c>
      <c r="B13" s="153" t="e">
        <f>IF(ISBLANK($A13), "", VLOOKUP($A13, 入力シート!$A$7:$J$1000, 3, FALSE))</f>
        <v>#REF!</v>
      </c>
      <c r="C13" s="154" t="e">
        <f>IF(ISBLANK($A13), "", VLOOKUP($A13, 入力シート!$A$7:$J$1000, 4, FALSE))</f>
        <v>#REF!</v>
      </c>
      <c r="D13" s="155" t="e">
        <f>IF(ISBLANK($A13), "", VLOOKUP($A13, 入力シート!$A$7:$J$1000, 6, FALSE))</f>
        <v>#REF!</v>
      </c>
      <c r="E13" s="155" t="e">
        <f>IF(ISBLANK($A13), "", VLOOKUP($A13, 入力シート!$A$7:$J$1000, 7, FALSE))</f>
        <v>#REF!</v>
      </c>
      <c r="F13" s="156" t="e">
        <f>IF(ISBLANK($A13), "", VLOOKUP($A13, 入力シート!$A$7:$J$1000, 10, FALSE))</f>
        <v>#REF!</v>
      </c>
      <c r="G13" s="150" t="e">
        <f>IF(ISBLANK($A13), "", VLOOKUP($A13, 入力シート!$A$7:$J$1000, 9, FALSE))</f>
        <v>#REF!</v>
      </c>
      <c r="H13" s="135" t="e">
        <f>IF(ISBLANK($A13), "", VLOOKUP($A13, 入力シート!$A$7:$J$1000, 8, FALSE))</f>
        <v>#REF!</v>
      </c>
    </row>
    <row r="14" spans="1:16" ht="29.25" customHeight="1" x14ac:dyDescent="0.15">
      <c r="A14" s="152"/>
      <c r="B14" s="153"/>
      <c r="C14" s="154"/>
      <c r="D14" s="155"/>
      <c r="E14" s="155"/>
      <c r="F14" s="156"/>
      <c r="G14" s="151"/>
      <c r="H14" s="115"/>
      <c r="O14" s="112"/>
      <c r="P14" s="108"/>
    </row>
    <row r="15" spans="1:16" ht="29.25" customHeight="1" x14ac:dyDescent="0.15">
      <c r="A15" s="152">
        <v>6</v>
      </c>
      <c r="B15" s="153" t="e">
        <f>IF(ISBLANK($A15), "", VLOOKUP($A15, 入力シート!$A$7:$J$1000, 3, FALSE))</f>
        <v>#REF!</v>
      </c>
      <c r="C15" s="154" t="e">
        <f>IF(ISBLANK($A15), "", VLOOKUP($A15, 入力シート!$A$7:$J$1000, 4, FALSE))</f>
        <v>#REF!</v>
      </c>
      <c r="D15" s="155" t="e">
        <f>IF(ISBLANK($A15), "", VLOOKUP($A15, 入力シート!$A$7:$J$1000, 6, FALSE))</f>
        <v>#REF!</v>
      </c>
      <c r="E15" s="155" t="e">
        <f>IF(ISBLANK($A15), "", VLOOKUP($A15, 入力シート!$A$7:$J$1000, 7, FALSE))</f>
        <v>#REF!</v>
      </c>
      <c r="F15" s="156" t="e">
        <f>IF(ISBLANK($A15), "", VLOOKUP($A15, 入力シート!$A$7:$J$1000, 10, FALSE))</f>
        <v>#REF!</v>
      </c>
      <c r="G15" s="150" t="e">
        <f>IF(ISBLANK($A15), "", VLOOKUP($A15, 入力シート!$A$7:$J$1000, 9, FALSE))</f>
        <v>#REF!</v>
      </c>
      <c r="H15" s="135" t="e">
        <f>IF(ISBLANK($A15), "", VLOOKUP($A15, 入力シート!$A$7:$J$1000, 8, FALSE))</f>
        <v>#REF!</v>
      </c>
    </row>
    <row r="16" spans="1:16" ht="29.25" customHeight="1" x14ac:dyDescent="0.15">
      <c r="A16" s="152"/>
      <c r="B16" s="153"/>
      <c r="C16" s="154"/>
      <c r="D16" s="155"/>
      <c r="E16" s="155"/>
      <c r="F16" s="156"/>
      <c r="G16" s="151"/>
      <c r="H16" s="115"/>
      <c r="O16" s="112"/>
      <c r="P16" s="108"/>
    </row>
    <row r="17" spans="1:16" ht="29.25" customHeight="1" x14ac:dyDescent="0.15">
      <c r="A17" s="152">
        <v>7</v>
      </c>
      <c r="B17" s="153">
        <f>IF(ISBLANK($A17), "", VLOOKUP($A17, 入力シート!$A$7:$J$1000, 3, FALSE))</f>
        <v>0</v>
      </c>
      <c r="C17" s="154">
        <f>IF(ISBLANK($A17), "", VLOOKUP($A17, 入力シート!$A$7:$J$1000, 4, FALSE))</f>
        <v>0</v>
      </c>
      <c r="D17" s="155">
        <f>IF(ISBLANK($A17), "", VLOOKUP($A17, 入力シート!$A$7:$J$1000, 6, FALSE))</f>
        <v>0</v>
      </c>
      <c r="E17" s="155">
        <f>IF(ISBLANK($A17), "", VLOOKUP($A17, 入力シート!$A$7:$J$1000, 7, FALSE))</f>
        <v>0</v>
      </c>
      <c r="F17" s="156">
        <f>IF(ISBLANK($A17), "", VLOOKUP($A17, 入力シート!$A$7:$J$1000, 10, FALSE))</f>
        <v>0</v>
      </c>
      <c r="G17" s="150">
        <f>IF(ISBLANK($A17), "", VLOOKUP($A17, 入力シート!$A$7:$J$1000, 9, FALSE))</f>
        <v>0</v>
      </c>
      <c r="H17" s="135">
        <f>IF(ISBLANK($A17), "", VLOOKUP($A17, 入力シート!$A$7:$J$1000, 8, FALSE))</f>
        <v>0</v>
      </c>
    </row>
    <row r="18" spans="1:16" ht="29.25" customHeight="1" x14ac:dyDescent="0.15">
      <c r="A18" s="152"/>
      <c r="B18" s="153"/>
      <c r="C18" s="154"/>
      <c r="D18" s="155"/>
      <c r="E18" s="155"/>
      <c r="F18" s="156"/>
      <c r="G18" s="151"/>
      <c r="H18" s="115"/>
      <c r="O18" s="112"/>
      <c r="P18" s="108"/>
    </row>
    <row r="19" spans="1:16" ht="29.25" customHeight="1" x14ac:dyDescent="0.15">
      <c r="A19" s="152">
        <v>8</v>
      </c>
      <c r="B19" s="153">
        <f>IF(ISBLANK($A19), "", VLOOKUP($A19, 入力シート!$A$7:$J$1000, 3, FALSE))</f>
        <v>0</v>
      </c>
      <c r="C19" s="154">
        <f>IF(ISBLANK($A19), "", VLOOKUP($A19, 入力シート!$A$7:$J$1000, 4, FALSE))</f>
        <v>0</v>
      </c>
      <c r="D19" s="155">
        <f>IF(ISBLANK($A19), "", VLOOKUP($A19, 入力シート!$A$7:$J$1000, 6, FALSE))</f>
        <v>0</v>
      </c>
      <c r="E19" s="155">
        <f>IF(ISBLANK($A19), "", VLOOKUP($A19, 入力シート!$A$7:$J$1000, 7, FALSE))</f>
        <v>0</v>
      </c>
      <c r="F19" s="156">
        <f>IF(ISBLANK($A19), "", VLOOKUP($A19, 入力シート!$A$7:$J$1000, 10, FALSE))</f>
        <v>0</v>
      </c>
      <c r="G19" s="150">
        <f>IF(ISBLANK($A19), "", VLOOKUP($A19, 入力シート!$A$7:$J$1000, 9, FALSE))</f>
        <v>0</v>
      </c>
      <c r="H19" s="135">
        <f>IF(ISBLANK($A19), "", VLOOKUP($A19, 入力シート!$A$7:$J$1000, 8, FALSE))</f>
        <v>0</v>
      </c>
    </row>
    <row r="20" spans="1:16" ht="29.25" customHeight="1" x14ac:dyDescent="0.15">
      <c r="A20" s="152"/>
      <c r="B20" s="153"/>
      <c r="C20" s="154"/>
      <c r="D20" s="155"/>
      <c r="E20" s="155"/>
      <c r="F20" s="156"/>
      <c r="G20" s="151"/>
      <c r="H20" s="115"/>
      <c r="O20" s="112"/>
      <c r="P20" s="108"/>
    </row>
    <row r="21" spans="1:16" ht="29.25" customHeight="1" x14ac:dyDescent="0.15">
      <c r="A21" s="152">
        <v>9</v>
      </c>
      <c r="B21" s="153">
        <f>IF(ISBLANK($A21), "", VLOOKUP($A21, 入力シート!$A$7:$J$1000, 3, FALSE))</f>
        <v>0</v>
      </c>
      <c r="C21" s="154">
        <f>IF(ISBLANK($A21), "", VLOOKUP($A21, 入力シート!$A$7:$J$1000, 4, FALSE))</f>
        <v>0</v>
      </c>
      <c r="D21" s="155">
        <f>IF(ISBLANK($A21), "", VLOOKUP($A21, 入力シート!$A$7:$J$1000, 6, FALSE))</f>
        <v>0</v>
      </c>
      <c r="E21" s="155">
        <f>IF(ISBLANK($A21), "", VLOOKUP($A21, 入力シート!$A$7:$J$1000, 7, FALSE))</f>
        <v>0</v>
      </c>
      <c r="F21" s="156">
        <f>IF(ISBLANK($A21), "", VLOOKUP($A21, 入力シート!$A$7:$J$1000, 10, FALSE))</f>
        <v>0</v>
      </c>
      <c r="G21" s="150">
        <f>IF(ISBLANK($A21), "", VLOOKUP($A21, 入力シート!$A$7:$J$1000, 9, FALSE))</f>
        <v>0</v>
      </c>
      <c r="H21" s="135">
        <f>IF(ISBLANK($A21), "", VLOOKUP($A21, 入力シート!$A$7:$J$1000, 8, FALSE))</f>
        <v>0</v>
      </c>
    </row>
    <row r="22" spans="1:16" ht="29.25" customHeight="1" x14ac:dyDescent="0.15">
      <c r="A22" s="152"/>
      <c r="B22" s="153"/>
      <c r="C22" s="154"/>
      <c r="D22" s="155"/>
      <c r="E22" s="155"/>
      <c r="F22" s="156"/>
      <c r="G22" s="151"/>
      <c r="H22" s="115"/>
      <c r="O22" s="112"/>
      <c r="P22" s="108"/>
    </row>
    <row r="23" spans="1:16" ht="29.25" customHeight="1" x14ac:dyDescent="0.15">
      <c r="A23" s="152">
        <v>10</v>
      </c>
      <c r="B23" s="153">
        <f>IF(ISBLANK($A23), "", VLOOKUP($A23, 入力シート!$A$7:$J$1000, 3, FALSE))</f>
        <v>0</v>
      </c>
      <c r="C23" s="154">
        <f>IF(ISBLANK($A23), "", VLOOKUP($A23, 入力シート!$A$7:$J$1000, 4, FALSE))</f>
        <v>0</v>
      </c>
      <c r="D23" s="155">
        <f>IF(ISBLANK($A23), "", VLOOKUP($A23, 入力シート!$A$7:$J$1000, 6, FALSE))</f>
        <v>0</v>
      </c>
      <c r="E23" s="155">
        <f>IF(ISBLANK($A23), "", VLOOKUP($A23, 入力シート!$A$7:$J$1000, 7, FALSE))</f>
        <v>0</v>
      </c>
      <c r="F23" s="156">
        <f>IF(ISBLANK($A23), "", VLOOKUP($A23, 入力シート!$A$7:$J$1000, 10, FALSE))</f>
        <v>0</v>
      </c>
      <c r="G23" s="150">
        <f>IF(ISBLANK($A23), "", VLOOKUP($A23, 入力シート!$A$7:$J$1000, 9, FALSE))</f>
        <v>0</v>
      </c>
      <c r="H23" s="135">
        <f>IF(ISBLANK($A23), "", VLOOKUP($A23, 入力シート!$A$7:$J$1000, 8, FALSE))</f>
        <v>0</v>
      </c>
    </row>
    <row r="24" spans="1:16" ht="29.25" customHeight="1" x14ac:dyDescent="0.15">
      <c r="A24" s="152"/>
      <c r="B24" s="153"/>
      <c r="C24" s="154"/>
      <c r="D24" s="155"/>
      <c r="E24" s="155"/>
      <c r="F24" s="156"/>
      <c r="G24" s="151"/>
      <c r="H24" s="115"/>
      <c r="O24" s="112"/>
      <c r="P24" s="108"/>
    </row>
    <row r="25" spans="1:16" ht="29.25" customHeight="1" x14ac:dyDescent="0.15">
      <c r="A25" s="152">
        <v>11</v>
      </c>
      <c r="B25" s="153">
        <f>IF(ISBLANK($A25), "", VLOOKUP($A25, 入力シート!$A$7:$J$1000, 3, FALSE))</f>
        <v>0</v>
      </c>
      <c r="C25" s="154">
        <f>IF(ISBLANK($A25), "", VLOOKUP($A25, 入力シート!$A$7:$J$1000, 4, FALSE))</f>
        <v>0</v>
      </c>
      <c r="D25" s="155">
        <f>IF(ISBLANK($A25), "", VLOOKUP($A25, 入力シート!$A$7:$J$1000, 6, FALSE))</f>
        <v>0</v>
      </c>
      <c r="E25" s="155">
        <f>IF(ISBLANK($A25), "", VLOOKUP($A25, 入力シート!$A$7:$J$1000, 7, FALSE))</f>
        <v>0</v>
      </c>
      <c r="F25" s="156">
        <f>IF(ISBLANK($A25), "", VLOOKUP($A25, 入力シート!$A$7:$J$1000, 10, FALSE))</f>
        <v>0</v>
      </c>
      <c r="G25" s="150">
        <f>IF(ISBLANK($A25), "", VLOOKUP($A25, 入力シート!$A$7:$J$1000, 9, FALSE))</f>
        <v>0</v>
      </c>
      <c r="H25" s="135">
        <f>IF(ISBLANK($A25), "", VLOOKUP($A25, 入力シート!$A$7:$J$1000, 8, FALSE))</f>
        <v>0</v>
      </c>
    </row>
    <row r="26" spans="1:16" ht="29.25" customHeight="1" x14ac:dyDescent="0.15">
      <c r="A26" s="152"/>
      <c r="B26" s="153"/>
      <c r="C26" s="154"/>
      <c r="D26" s="155"/>
      <c r="E26" s="155"/>
      <c r="F26" s="156"/>
      <c r="G26" s="151"/>
      <c r="H26" s="115"/>
    </row>
    <row r="27" spans="1:16" ht="29.25" customHeight="1" x14ac:dyDescent="0.15">
      <c r="A27" s="152">
        <v>12</v>
      </c>
      <c r="B27" s="153">
        <f>IF(ISBLANK($A27), "", VLOOKUP($A27, 入力シート!$A$7:$J$1000, 3, FALSE))</f>
        <v>0</v>
      </c>
      <c r="C27" s="154">
        <f>IF(ISBLANK($A27), "", VLOOKUP($A27, 入力シート!$A$7:$J$1000, 4, FALSE))</f>
        <v>0</v>
      </c>
      <c r="D27" s="155">
        <f>IF(ISBLANK($A27), "", VLOOKUP($A27, 入力シート!$A$7:$J$1000, 6, FALSE))</f>
        <v>0</v>
      </c>
      <c r="E27" s="155">
        <f>IF(ISBLANK($A27), "", VLOOKUP($A27, 入力シート!$A$7:$J$1000, 7, FALSE))</f>
        <v>0</v>
      </c>
      <c r="F27" s="156">
        <f>IF(ISBLANK($A27), "", VLOOKUP($A27, 入力シート!$A$7:$J$1000, 10, FALSE))</f>
        <v>0</v>
      </c>
      <c r="G27" s="150">
        <f>IF(ISBLANK($A27), "", VLOOKUP($A27, 入力シート!$A$7:$J$1000, 9, FALSE))</f>
        <v>0</v>
      </c>
      <c r="H27" s="135">
        <f>IF(ISBLANK($A27), "", VLOOKUP($A27, 入力シート!$A$7:$J$1000, 8, FALSE))</f>
        <v>0</v>
      </c>
    </row>
    <row r="28" spans="1:16" ht="29.25" customHeight="1" x14ac:dyDescent="0.15">
      <c r="A28" s="152"/>
      <c r="B28" s="153"/>
      <c r="C28" s="154"/>
      <c r="D28" s="155"/>
      <c r="E28" s="155"/>
      <c r="F28" s="156"/>
      <c r="G28" s="151"/>
      <c r="H28" s="115"/>
    </row>
    <row r="29" spans="1:16" ht="29.25" customHeight="1" x14ac:dyDescent="0.15">
      <c r="A29" s="152">
        <v>13</v>
      </c>
      <c r="B29" s="153">
        <f>IF(ISBLANK($A29), "", VLOOKUP($A29, 入力シート!$A$7:$J$1000, 3, FALSE))</f>
        <v>0</v>
      </c>
      <c r="C29" s="154">
        <f>IF(ISBLANK($A29), "", VLOOKUP($A29, 入力シート!$A$7:$J$1000, 4, FALSE))</f>
        <v>0</v>
      </c>
      <c r="D29" s="155">
        <f>IF(ISBLANK($A29), "", VLOOKUP($A29, 入力シート!$A$7:$J$1000, 6, FALSE))</f>
        <v>0</v>
      </c>
      <c r="E29" s="155">
        <f>IF(ISBLANK($A29), "", VLOOKUP($A29, 入力シート!$A$7:$J$1000, 7, FALSE))</f>
        <v>0</v>
      </c>
      <c r="F29" s="156">
        <f>IF(ISBLANK($A29), "", VLOOKUP($A29, 入力シート!$A$7:$J$1000, 10, FALSE))</f>
        <v>0</v>
      </c>
      <c r="G29" s="150">
        <f>IF(ISBLANK($A29), "", VLOOKUP($A29, 入力シート!$A$7:$J$1000, 9, FALSE))</f>
        <v>0</v>
      </c>
      <c r="H29" s="135">
        <f>IF(ISBLANK($A29), "", VLOOKUP($A29, 入力シート!$A$7:$J$1000, 8, FALSE))</f>
        <v>0</v>
      </c>
    </row>
    <row r="30" spans="1:16" ht="29.25" customHeight="1" x14ac:dyDescent="0.15">
      <c r="A30" s="152"/>
      <c r="B30" s="153"/>
      <c r="C30" s="154"/>
      <c r="D30" s="155"/>
      <c r="E30" s="155"/>
      <c r="F30" s="156"/>
      <c r="G30" s="151"/>
      <c r="H30" s="115"/>
    </row>
    <row r="31" spans="1:16" ht="29.25" customHeight="1" x14ac:dyDescent="0.15">
      <c r="A31" s="152">
        <v>14</v>
      </c>
      <c r="B31" s="153">
        <f>IF(ISBLANK($A31), "", VLOOKUP($A31, 入力シート!$A$7:$J$1000, 3, FALSE))</f>
        <v>0</v>
      </c>
      <c r="C31" s="155">
        <f>IF(ISBLANK($A31), "", VLOOKUP($A31, 入力シート!$A$7:$J$1000, 4, FALSE))</f>
        <v>0</v>
      </c>
      <c r="D31" s="155">
        <f>IF(ISBLANK($A31), "", VLOOKUP($A31, 入力シート!$A$7:$J$1000, 6, FALSE))</f>
        <v>0</v>
      </c>
      <c r="E31" s="155">
        <f>IF(ISBLANK($A31), "", VLOOKUP($A31, 入力シート!$A$7:$J$1000, 7, FALSE))</f>
        <v>0</v>
      </c>
      <c r="F31" s="156">
        <f>IF(ISBLANK($A31), "", VLOOKUP($A31, 入力シート!$A$7:$J$1000, 10, FALSE))</f>
        <v>0</v>
      </c>
      <c r="G31" s="150">
        <f>IF(ISBLANK($A31), "", VLOOKUP($A31, 入力シート!$A$7:$J$1000, 9, FALSE))</f>
        <v>0</v>
      </c>
      <c r="H31" s="135">
        <f>IF(ISBLANK($A31), "", VLOOKUP($A31, 入力シート!$A$7:$J$1000, 8, FALSE))</f>
        <v>0</v>
      </c>
    </row>
    <row r="32" spans="1:16" ht="29.25" customHeight="1" x14ac:dyDescent="0.15">
      <c r="A32" s="152"/>
      <c r="B32" s="153"/>
      <c r="C32" s="155"/>
      <c r="D32" s="155"/>
      <c r="E32" s="155"/>
      <c r="F32" s="156"/>
      <c r="G32" s="151"/>
      <c r="H32" s="115"/>
    </row>
  </sheetData>
  <mergeCells count="105">
    <mergeCell ref="G29:G30"/>
    <mergeCell ref="A31:A32"/>
    <mergeCell ref="B31:B32"/>
    <mergeCell ref="C31:C32"/>
    <mergeCell ref="D31:D32"/>
    <mergeCell ref="E31:E32"/>
    <mergeCell ref="F31:F32"/>
    <mergeCell ref="G31:G32"/>
    <mergeCell ref="A29:A30"/>
    <mergeCell ref="B29:B30"/>
    <mergeCell ref="C29:C30"/>
    <mergeCell ref="D29:D30"/>
    <mergeCell ref="E29:E30"/>
    <mergeCell ref="F29:F30"/>
    <mergeCell ref="G25:G26"/>
    <mergeCell ref="A27:A28"/>
    <mergeCell ref="B27:B28"/>
    <mergeCell ref="C27:C28"/>
    <mergeCell ref="D27:D28"/>
    <mergeCell ref="E27:E28"/>
    <mergeCell ref="F27:F28"/>
    <mergeCell ref="G27:G28"/>
    <mergeCell ref="A25:A26"/>
    <mergeCell ref="B25:B26"/>
    <mergeCell ref="C25:C26"/>
    <mergeCell ref="D25:D26"/>
    <mergeCell ref="E25:E26"/>
    <mergeCell ref="F25:F26"/>
    <mergeCell ref="G21:G22"/>
    <mergeCell ref="A23:A24"/>
    <mergeCell ref="B23:B24"/>
    <mergeCell ref="C23:C24"/>
    <mergeCell ref="D23:D24"/>
    <mergeCell ref="E23:E24"/>
    <mergeCell ref="F23:F24"/>
    <mergeCell ref="G23:G24"/>
    <mergeCell ref="A21:A22"/>
    <mergeCell ref="B21:B22"/>
    <mergeCell ref="C21:C22"/>
    <mergeCell ref="D21:D22"/>
    <mergeCell ref="E21:E22"/>
    <mergeCell ref="F21:F22"/>
    <mergeCell ref="G17:G18"/>
    <mergeCell ref="A19:A20"/>
    <mergeCell ref="B19:B20"/>
    <mergeCell ref="C19:C20"/>
    <mergeCell ref="D19:D20"/>
    <mergeCell ref="E19:E20"/>
    <mergeCell ref="F19:F20"/>
    <mergeCell ref="G19:G20"/>
    <mergeCell ref="A17:A18"/>
    <mergeCell ref="B17:B18"/>
    <mergeCell ref="C17:C18"/>
    <mergeCell ref="D17:D18"/>
    <mergeCell ref="E17:E18"/>
    <mergeCell ref="F17:F18"/>
    <mergeCell ref="G13:G14"/>
    <mergeCell ref="A15:A16"/>
    <mergeCell ref="B15:B16"/>
    <mergeCell ref="C15:C16"/>
    <mergeCell ref="D15:D16"/>
    <mergeCell ref="E15:E16"/>
    <mergeCell ref="F15:F16"/>
    <mergeCell ref="G15:G16"/>
    <mergeCell ref="A13:A14"/>
    <mergeCell ref="B13:B14"/>
    <mergeCell ref="C13:C14"/>
    <mergeCell ref="D13:D14"/>
    <mergeCell ref="E13:E14"/>
    <mergeCell ref="F13:F14"/>
    <mergeCell ref="G9:G10"/>
    <mergeCell ref="A11:A12"/>
    <mergeCell ref="B11:B12"/>
    <mergeCell ref="C11:C12"/>
    <mergeCell ref="D11:D12"/>
    <mergeCell ref="E11:E12"/>
    <mergeCell ref="F11:F12"/>
    <mergeCell ref="G11:G12"/>
    <mergeCell ref="A9:A10"/>
    <mergeCell ref="B9:B10"/>
    <mergeCell ref="C9:C10"/>
    <mergeCell ref="D9:D10"/>
    <mergeCell ref="E9:E10"/>
    <mergeCell ref="F9:F10"/>
    <mergeCell ref="B1:H1"/>
    <mergeCell ref="B3:B4"/>
    <mergeCell ref="C3:C4"/>
    <mergeCell ref="D3:D4"/>
    <mergeCell ref="E3:E4"/>
    <mergeCell ref="F3:F4"/>
    <mergeCell ref="G3:G4"/>
    <mergeCell ref="G5:G6"/>
    <mergeCell ref="A7:A8"/>
    <mergeCell ref="B7:B8"/>
    <mergeCell ref="C7:C8"/>
    <mergeCell ref="D7:D8"/>
    <mergeCell ref="E7:E8"/>
    <mergeCell ref="F7:F8"/>
    <mergeCell ref="G7:G8"/>
    <mergeCell ref="A5:A6"/>
    <mergeCell ref="B5:B6"/>
    <mergeCell ref="C5:C6"/>
    <mergeCell ref="D5:D6"/>
    <mergeCell ref="E5:E6"/>
    <mergeCell ref="F5:F6"/>
  </mergeCells>
  <phoneticPr fontId="2"/>
  <printOptions horizontalCentered="1"/>
  <pageMargins left="0.59055118110236227" right="0.31" top="0.98425196850393704" bottom="0.7" header="0.51181102362204722" footer="0.51181102362204722"/>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EB1AC-0456-4018-8599-86A53596BB7F}">
  <dimension ref="A1:P32"/>
  <sheetViews>
    <sheetView showZeros="0" zoomScale="70" zoomScaleNormal="70" workbookViewId="0">
      <selection activeCell="B15" sqref="B15:B16"/>
    </sheetView>
  </sheetViews>
  <sheetFormatPr defaultRowHeight="13.5" x14ac:dyDescent="0.15"/>
  <cols>
    <col min="1" max="1" width="9" style="106"/>
    <col min="2" max="2" width="18.625" style="106" customWidth="1"/>
    <col min="3" max="3" width="8.625" style="108" customWidth="1"/>
    <col min="4" max="6" width="8.625" style="106" customWidth="1"/>
    <col min="7" max="8" width="21.125" style="106" customWidth="1"/>
    <col min="9" max="9" width="21.75" style="106" customWidth="1"/>
    <col min="10" max="10" width="10" style="108" customWidth="1"/>
    <col min="11" max="12" width="10" style="106" customWidth="1"/>
    <col min="13" max="13" width="27.5" style="106" customWidth="1"/>
    <col min="14" max="14" width="12.5" style="106" customWidth="1"/>
    <col min="15" max="15" width="28.75" style="106" customWidth="1"/>
    <col min="16" max="16" width="15.375" style="106" customWidth="1"/>
    <col min="17" max="16384" width="9" style="106"/>
  </cols>
  <sheetData>
    <row r="1" spans="1:16" ht="34.5" customHeight="1" x14ac:dyDescent="0.15">
      <c r="B1" s="147" t="s">
        <v>21</v>
      </c>
      <c r="C1" s="147"/>
      <c r="D1" s="147"/>
      <c r="E1" s="147"/>
      <c r="F1" s="147"/>
      <c r="G1" s="147"/>
      <c r="H1" s="147"/>
      <c r="I1" s="107"/>
      <c r="J1" s="107"/>
      <c r="K1" s="107"/>
      <c r="L1" s="107"/>
      <c r="M1" s="107"/>
      <c r="N1" s="107"/>
      <c r="O1" s="107"/>
      <c r="P1" s="107"/>
    </row>
    <row r="2" spans="1:16" ht="33" customHeight="1" x14ac:dyDescent="0.15">
      <c r="C2" s="157">
        <f ca="1">TODAY()</f>
        <v>45779</v>
      </c>
      <c r="D2" s="157"/>
      <c r="E2" s="157"/>
      <c r="F2" s="158" t="s">
        <v>125</v>
      </c>
      <c r="G2" s="159"/>
      <c r="H2" s="159"/>
      <c r="I2" s="108"/>
      <c r="M2" s="109"/>
      <c r="N2" s="109"/>
      <c r="O2" s="109"/>
      <c r="P2" s="109"/>
    </row>
    <row r="3" spans="1:16" ht="27.75" customHeight="1" x14ac:dyDescent="0.15">
      <c r="B3" s="148" t="s">
        <v>18</v>
      </c>
      <c r="C3" s="148" t="s">
        <v>2</v>
      </c>
      <c r="D3" s="148" t="s">
        <v>3</v>
      </c>
      <c r="E3" s="148" t="s">
        <v>4</v>
      </c>
      <c r="F3" s="149" t="s">
        <v>126</v>
      </c>
      <c r="G3" s="148" t="s">
        <v>20</v>
      </c>
      <c r="H3" s="110" t="s">
        <v>127</v>
      </c>
      <c r="I3" s="111"/>
      <c r="J3" s="111"/>
      <c r="K3" s="111"/>
      <c r="L3" s="111"/>
      <c r="M3" s="111"/>
      <c r="N3" s="111"/>
      <c r="O3" s="111"/>
      <c r="P3" s="111"/>
    </row>
    <row r="4" spans="1:16" ht="27.75" customHeight="1" x14ac:dyDescent="0.15">
      <c r="B4" s="148"/>
      <c r="C4" s="148"/>
      <c r="D4" s="148"/>
      <c r="E4" s="148"/>
      <c r="F4" s="149"/>
      <c r="G4" s="148"/>
      <c r="H4" s="110" t="s">
        <v>37</v>
      </c>
      <c r="O4" s="112"/>
      <c r="P4" s="108"/>
    </row>
    <row r="5" spans="1:16" ht="29.25" customHeight="1" x14ac:dyDescent="0.15">
      <c r="A5" s="152">
        <v>1</v>
      </c>
      <c r="B5" s="153" t="e">
        <f>IF(ISBLANK($A5), "", VLOOKUP($A5, 入力シート!$A$7:$J$1000, 3, FALSE))</f>
        <v>#REF!</v>
      </c>
      <c r="C5" s="154" t="e">
        <f>IF(ISBLANK($A5), "", VLOOKUP($A5, 入力シート!$A$7:$J$1000, 4, FALSE))</f>
        <v>#REF!</v>
      </c>
      <c r="D5" s="155" t="e">
        <f>IF(ISBLANK($A5), "", VLOOKUP($A5, 入力シート!$A$7:$J$1000, 6, FALSE))</f>
        <v>#REF!</v>
      </c>
      <c r="E5" s="155" t="e">
        <f>IF(ISBLANK($A5), "", VLOOKUP($A5, 入力シート!$A$7:$J$1000, 7, FALSE))</f>
        <v>#REF!</v>
      </c>
      <c r="F5" s="156" t="e">
        <f>IF(ISBLANK($A5), "", VLOOKUP($A5, 入力シート!$A$7:$J$1000, 10, FALSE))</f>
        <v>#REF!</v>
      </c>
      <c r="G5" s="150" t="e">
        <f>IF(ISBLANK($A5), "", VLOOKUP($A5, 入力シート!$A$7:$J$1000, 9, FALSE))</f>
        <v>#REF!</v>
      </c>
      <c r="H5" s="135" t="e">
        <f>IF(ISBLANK($A5), "", VLOOKUP($A5, 入力シート!$A$7:$J$1000, 8, FALSE))</f>
        <v>#REF!</v>
      </c>
    </row>
    <row r="6" spans="1:16" ht="29.25" customHeight="1" x14ac:dyDescent="0.15">
      <c r="A6" s="152"/>
      <c r="B6" s="153"/>
      <c r="C6" s="154"/>
      <c r="D6" s="155"/>
      <c r="E6" s="155"/>
      <c r="F6" s="156"/>
      <c r="G6" s="151"/>
      <c r="H6" s="115"/>
      <c r="O6" s="112"/>
      <c r="P6" s="108"/>
    </row>
    <row r="7" spans="1:16" ht="29.25" customHeight="1" x14ac:dyDescent="0.15">
      <c r="A7" s="152">
        <v>2</v>
      </c>
      <c r="B7" s="153" t="e">
        <f>IF(ISBLANK($A7), "", VLOOKUP($A7, 入力シート!$A$7:$J$1000, 3, FALSE))</f>
        <v>#REF!</v>
      </c>
      <c r="C7" s="154" t="e">
        <f>IF(ISBLANK($A7), "", VLOOKUP($A7, 入力シート!$A$7:$J$1000, 4, FALSE))</f>
        <v>#REF!</v>
      </c>
      <c r="D7" s="155" t="e">
        <f>IF(ISBLANK($A7), "", VLOOKUP($A7, 入力シート!$A$7:$J$1000, 6, FALSE))</f>
        <v>#REF!</v>
      </c>
      <c r="E7" s="155" t="e">
        <f>IF(ISBLANK($A7), "", VLOOKUP($A7, 入力シート!$A$7:$J$1000, 7, FALSE))</f>
        <v>#REF!</v>
      </c>
      <c r="F7" s="156" t="e">
        <f>IF(ISBLANK($A7), "", VLOOKUP($A7, 入力シート!$A$7:$J$1000, 10, FALSE))</f>
        <v>#REF!</v>
      </c>
      <c r="G7" s="150" t="e">
        <f>IF(ISBLANK($A7), "", VLOOKUP($A7, 入力シート!$A$7:$J$1000, 9, FALSE))</f>
        <v>#REF!</v>
      </c>
      <c r="H7" s="135" t="e">
        <f>IF(ISBLANK($A7), "", VLOOKUP($A7, 入力シート!$A$7:$J$1000, 8, FALSE))</f>
        <v>#REF!</v>
      </c>
    </row>
    <row r="8" spans="1:16" ht="29.25" customHeight="1" x14ac:dyDescent="0.15">
      <c r="A8" s="152"/>
      <c r="B8" s="153"/>
      <c r="C8" s="154"/>
      <c r="D8" s="155"/>
      <c r="E8" s="155"/>
      <c r="F8" s="156"/>
      <c r="G8" s="151"/>
      <c r="H8" s="115"/>
      <c r="O8" s="112"/>
      <c r="P8" s="108"/>
    </row>
    <row r="9" spans="1:16" ht="29.25" customHeight="1" x14ac:dyDescent="0.15">
      <c r="A9" s="152">
        <v>3</v>
      </c>
      <c r="B9" s="153" t="e">
        <f>IF(ISBLANK($A9), "", VLOOKUP($A9, 入力シート!$A$7:$J$1000, 3, FALSE))</f>
        <v>#REF!</v>
      </c>
      <c r="C9" s="154" t="e">
        <f>IF(ISBLANK($A9), "", VLOOKUP($A9, 入力シート!$A$7:$J$1000, 4, FALSE))</f>
        <v>#REF!</v>
      </c>
      <c r="D9" s="155" t="e">
        <f>IF(ISBLANK($A9), "", VLOOKUP($A9, 入力シート!$A$7:$J$1000, 6, FALSE))</f>
        <v>#REF!</v>
      </c>
      <c r="E9" s="155" t="e">
        <f>IF(ISBLANK($A9), "", VLOOKUP($A9, 入力シート!$A$7:$J$1000, 7, FALSE))</f>
        <v>#REF!</v>
      </c>
      <c r="F9" s="156" t="e">
        <f>IF(ISBLANK($A9), "", VLOOKUP($A9, 入力シート!$A$7:$J$1000, 10, FALSE))</f>
        <v>#REF!</v>
      </c>
      <c r="G9" s="150" t="e">
        <f>IF(ISBLANK($A9), "", VLOOKUP($A9, 入力シート!$A$7:$J$1000, 9, FALSE))</f>
        <v>#REF!</v>
      </c>
      <c r="H9" s="135" t="e">
        <f>IF(ISBLANK($A9), "", VLOOKUP($A9, 入力シート!$A$7:$J$1000, 8, FALSE))</f>
        <v>#REF!</v>
      </c>
    </row>
    <row r="10" spans="1:16" ht="29.25" customHeight="1" x14ac:dyDescent="0.15">
      <c r="A10" s="152"/>
      <c r="B10" s="153"/>
      <c r="C10" s="154"/>
      <c r="D10" s="155"/>
      <c r="E10" s="155"/>
      <c r="F10" s="156"/>
      <c r="G10" s="151"/>
      <c r="H10" s="115"/>
      <c r="O10" s="112"/>
      <c r="P10" s="108"/>
    </row>
    <row r="11" spans="1:16" ht="29.25" customHeight="1" x14ac:dyDescent="0.15">
      <c r="A11" s="152">
        <v>4</v>
      </c>
      <c r="B11" s="153" t="e">
        <f>IF(ISBLANK($A11), "", VLOOKUP($A11, 入力シート!$A$7:$J$1000, 3, FALSE))</f>
        <v>#REF!</v>
      </c>
      <c r="C11" s="154" t="e">
        <f>IF(ISBLANK($A11), "", VLOOKUP($A11, 入力シート!$A$7:$J$1000, 4, FALSE))</f>
        <v>#REF!</v>
      </c>
      <c r="D11" s="155" t="e">
        <f>IF(ISBLANK($A11), "", VLOOKUP($A11, 入力シート!$A$7:$J$1000, 6, FALSE))</f>
        <v>#REF!</v>
      </c>
      <c r="E11" s="155" t="e">
        <f>IF(ISBLANK($A11), "", VLOOKUP($A11, 入力シート!$A$7:$J$1000, 7, FALSE))</f>
        <v>#REF!</v>
      </c>
      <c r="F11" s="156" t="e">
        <f>IF(ISBLANK($A11), "", VLOOKUP($A11, 入力シート!$A$7:$J$1000, 10, FALSE))</f>
        <v>#REF!</v>
      </c>
      <c r="G11" s="150" t="e">
        <f>IF(ISBLANK($A11), "", VLOOKUP($A11, 入力シート!$A$7:$J$1000, 9, FALSE))</f>
        <v>#REF!</v>
      </c>
      <c r="H11" s="135" t="e">
        <f>IF(ISBLANK($A11), "", VLOOKUP($A11, 入力シート!$A$7:$J$1000, 8, FALSE))</f>
        <v>#REF!</v>
      </c>
    </row>
    <row r="12" spans="1:16" ht="29.25" customHeight="1" x14ac:dyDescent="0.15">
      <c r="A12" s="152"/>
      <c r="B12" s="153"/>
      <c r="C12" s="154"/>
      <c r="D12" s="155"/>
      <c r="E12" s="155"/>
      <c r="F12" s="156"/>
      <c r="G12" s="151"/>
      <c r="H12" s="115"/>
      <c r="O12" s="112"/>
      <c r="P12" s="108"/>
    </row>
    <row r="13" spans="1:16" ht="29.25" customHeight="1" x14ac:dyDescent="0.15">
      <c r="A13" s="152">
        <v>5</v>
      </c>
      <c r="B13" s="153" t="e">
        <f>IF(ISBLANK($A13), "", VLOOKUP($A13, 入力シート!$A$7:$J$1000, 3, FALSE))</f>
        <v>#REF!</v>
      </c>
      <c r="C13" s="154" t="e">
        <f>IF(ISBLANK($A13), "", VLOOKUP($A13, 入力シート!$A$7:$J$1000, 4, FALSE))</f>
        <v>#REF!</v>
      </c>
      <c r="D13" s="155" t="e">
        <f>IF(ISBLANK($A13), "", VLOOKUP($A13, 入力シート!$A$7:$J$1000, 6, FALSE))</f>
        <v>#REF!</v>
      </c>
      <c r="E13" s="155" t="e">
        <f>IF(ISBLANK($A13), "", VLOOKUP($A13, 入力シート!$A$7:$J$1000, 7, FALSE))</f>
        <v>#REF!</v>
      </c>
      <c r="F13" s="156" t="e">
        <f>IF(ISBLANK($A13), "", VLOOKUP($A13, 入力シート!$A$7:$J$1000, 10, FALSE))</f>
        <v>#REF!</v>
      </c>
      <c r="G13" s="150" t="e">
        <f>IF(ISBLANK($A13), "", VLOOKUP($A13, 入力シート!$A$7:$J$1000, 9, FALSE))</f>
        <v>#REF!</v>
      </c>
      <c r="H13" s="135" t="e">
        <f>IF(ISBLANK($A13), "", VLOOKUP($A13, 入力シート!$A$7:$J$1000, 8, FALSE))</f>
        <v>#REF!</v>
      </c>
    </row>
    <row r="14" spans="1:16" ht="29.25" customHeight="1" x14ac:dyDescent="0.15">
      <c r="A14" s="152"/>
      <c r="B14" s="153"/>
      <c r="C14" s="154"/>
      <c r="D14" s="155"/>
      <c r="E14" s="155"/>
      <c r="F14" s="156"/>
      <c r="G14" s="151"/>
      <c r="H14" s="115"/>
      <c r="O14" s="112"/>
      <c r="P14" s="108"/>
    </row>
    <row r="15" spans="1:16" ht="29.25" customHeight="1" x14ac:dyDescent="0.15">
      <c r="A15" s="152">
        <v>6</v>
      </c>
      <c r="B15" s="153" t="e">
        <f>IF(ISBLANK($A15), "", VLOOKUP($A15, 入力シート!$A$7:$J$1000, 3, FALSE))</f>
        <v>#REF!</v>
      </c>
      <c r="C15" s="154" t="e">
        <f>IF(ISBLANK($A15), "", VLOOKUP($A15, 入力シート!$A$7:$J$1000, 4, FALSE))</f>
        <v>#REF!</v>
      </c>
      <c r="D15" s="155" t="e">
        <f>IF(ISBLANK($A15), "", VLOOKUP($A15, 入力シート!$A$7:$J$1000, 6, FALSE))</f>
        <v>#REF!</v>
      </c>
      <c r="E15" s="155" t="e">
        <f>IF(ISBLANK($A15), "", VLOOKUP($A15, 入力シート!$A$7:$J$1000, 7, FALSE))</f>
        <v>#REF!</v>
      </c>
      <c r="F15" s="156" t="e">
        <f>IF(ISBLANK($A15), "", VLOOKUP($A15, 入力シート!$A$7:$J$1000, 10, FALSE))</f>
        <v>#REF!</v>
      </c>
      <c r="G15" s="150" t="e">
        <f>IF(ISBLANK($A15), "", VLOOKUP($A15, 入力シート!$A$7:$J$1000, 9, FALSE))</f>
        <v>#REF!</v>
      </c>
      <c r="H15" s="135" t="e">
        <f>IF(ISBLANK($A15), "", VLOOKUP($A15, 入力シート!$A$7:$J$1000, 8, FALSE))</f>
        <v>#REF!</v>
      </c>
    </row>
    <row r="16" spans="1:16" ht="29.25" customHeight="1" x14ac:dyDescent="0.15">
      <c r="A16" s="152"/>
      <c r="B16" s="153"/>
      <c r="C16" s="154"/>
      <c r="D16" s="155"/>
      <c r="E16" s="155"/>
      <c r="F16" s="156"/>
      <c r="G16" s="151"/>
      <c r="H16" s="115"/>
      <c r="O16" s="112"/>
      <c r="P16" s="108"/>
    </row>
    <row r="17" spans="1:16" ht="29.25" customHeight="1" x14ac:dyDescent="0.15">
      <c r="A17" s="152">
        <v>7</v>
      </c>
      <c r="B17" s="153">
        <f>IF(ISBLANK($A17), "", VLOOKUP($A17, 入力シート!$A$7:$J$1000, 3, FALSE))</f>
        <v>0</v>
      </c>
      <c r="C17" s="154">
        <f>IF(ISBLANK($A17), "", VLOOKUP($A17, 入力シート!$A$7:$J$1000, 4, FALSE))</f>
        <v>0</v>
      </c>
      <c r="D17" s="155">
        <f>IF(ISBLANK($A17), "", VLOOKUP($A17, 入力シート!$A$7:$J$1000, 6, FALSE))</f>
        <v>0</v>
      </c>
      <c r="E17" s="155">
        <f>IF(ISBLANK($A17), "", VLOOKUP($A17, 入力シート!$A$7:$J$1000, 7, FALSE))</f>
        <v>0</v>
      </c>
      <c r="F17" s="156">
        <f>IF(ISBLANK($A17), "", VLOOKUP($A17, 入力シート!$A$7:$J$1000, 10, FALSE))</f>
        <v>0</v>
      </c>
      <c r="G17" s="150">
        <f>IF(ISBLANK($A17), "", VLOOKUP($A17, 入力シート!$A$7:$J$1000, 9, FALSE))</f>
        <v>0</v>
      </c>
      <c r="H17" s="135">
        <f>IF(ISBLANK($A17), "", VLOOKUP($A17, 入力シート!$A$7:$J$1000, 8, FALSE))</f>
        <v>0</v>
      </c>
    </row>
    <row r="18" spans="1:16" ht="29.25" customHeight="1" x14ac:dyDescent="0.15">
      <c r="A18" s="152"/>
      <c r="B18" s="153"/>
      <c r="C18" s="154"/>
      <c r="D18" s="155"/>
      <c r="E18" s="155"/>
      <c r="F18" s="156"/>
      <c r="G18" s="151"/>
      <c r="H18" s="115"/>
      <c r="O18" s="112"/>
      <c r="P18" s="108"/>
    </row>
    <row r="19" spans="1:16" ht="29.25" customHeight="1" x14ac:dyDescent="0.15">
      <c r="A19" s="152">
        <v>8</v>
      </c>
      <c r="B19" s="153">
        <f>IF(ISBLANK($A19), "", VLOOKUP($A19, 入力シート!$A$7:$J$1000, 3, FALSE))</f>
        <v>0</v>
      </c>
      <c r="C19" s="154">
        <f>IF(ISBLANK($A19), "", VLOOKUP($A19, 入力シート!$A$7:$J$1000, 4, FALSE))</f>
        <v>0</v>
      </c>
      <c r="D19" s="155">
        <f>IF(ISBLANK($A19), "", VLOOKUP($A19, 入力シート!$A$7:$J$1000, 6, FALSE))</f>
        <v>0</v>
      </c>
      <c r="E19" s="155">
        <f>IF(ISBLANK($A19), "", VLOOKUP($A19, 入力シート!$A$7:$J$1000, 7, FALSE))</f>
        <v>0</v>
      </c>
      <c r="F19" s="156">
        <f>IF(ISBLANK($A19), "", VLOOKUP($A19, 入力シート!$A$7:$J$1000, 10, FALSE))</f>
        <v>0</v>
      </c>
      <c r="G19" s="150">
        <f>IF(ISBLANK($A19), "", VLOOKUP($A19, 入力シート!$A$7:$J$1000, 9, FALSE))</f>
        <v>0</v>
      </c>
      <c r="H19" s="135">
        <f>IF(ISBLANK($A19), "", VLOOKUP($A19, 入力シート!$A$7:$J$1000, 8, FALSE))</f>
        <v>0</v>
      </c>
    </row>
    <row r="20" spans="1:16" ht="29.25" customHeight="1" x14ac:dyDescent="0.15">
      <c r="A20" s="152"/>
      <c r="B20" s="153"/>
      <c r="C20" s="154"/>
      <c r="D20" s="155"/>
      <c r="E20" s="155"/>
      <c r="F20" s="156"/>
      <c r="G20" s="151"/>
      <c r="H20" s="115"/>
      <c r="O20" s="112"/>
      <c r="P20" s="108"/>
    </row>
    <row r="21" spans="1:16" ht="29.25" customHeight="1" x14ac:dyDescent="0.15">
      <c r="A21" s="152">
        <v>9</v>
      </c>
      <c r="B21" s="153">
        <f>IF(ISBLANK($A21), "", VLOOKUP($A21, 入力シート!$A$7:$J$1000, 3, FALSE))</f>
        <v>0</v>
      </c>
      <c r="C21" s="154">
        <f>IF(ISBLANK($A21), "", VLOOKUP($A21, 入力シート!$A$7:$J$1000, 4, FALSE))</f>
        <v>0</v>
      </c>
      <c r="D21" s="155">
        <f>IF(ISBLANK($A21), "", VLOOKUP($A21, 入力シート!$A$7:$J$1000, 6, FALSE))</f>
        <v>0</v>
      </c>
      <c r="E21" s="155">
        <f>IF(ISBLANK($A21), "", VLOOKUP($A21, 入力シート!$A$7:$J$1000, 7, FALSE))</f>
        <v>0</v>
      </c>
      <c r="F21" s="156">
        <f>IF(ISBLANK($A21), "", VLOOKUP($A21, 入力シート!$A$7:$J$1000, 10, FALSE))</f>
        <v>0</v>
      </c>
      <c r="G21" s="150">
        <f>IF(ISBLANK($A21), "", VLOOKUP($A21, 入力シート!$A$7:$J$1000, 9, FALSE))</f>
        <v>0</v>
      </c>
      <c r="H21" s="135">
        <f>IF(ISBLANK($A21), "", VLOOKUP($A21, 入力シート!$A$7:$J$1000, 8, FALSE))</f>
        <v>0</v>
      </c>
    </row>
    <row r="22" spans="1:16" ht="29.25" customHeight="1" x14ac:dyDescent="0.15">
      <c r="A22" s="152"/>
      <c r="B22" s="153"/>
      <c r="C22" s="154"/>
      <c r="D22" s="155"/>
      <c r="E22" s="155"/>
      <c r="F22" s="156"/>
      <c r="G22" s="151"/>
      <c r="H22" s="115"/>
      <c r="O22" s="112"/>
      <c r="P22" s="108"/>
    </row>
    <row r="23" spans="1:16" ht="29.25" customHeight="1" x14ac:dyDescent="0.15">
      <c r="A23" s="152">
        <v>10</v>
      </c>
      <c r="B23" s="153">
        <f>IF(ISBLANK($A23), "", VLOOKUP($A23, 入力シート!$A$7:$J$1000, 3, FALSE))</f>
        <v>0</v>
      </c>
      <c r="C23" s="154">
        <f>IF(ISBLANK($A23), "", VLOOKUP($A23, 入力シート!$A$7:$J$1000, 4, FALSE))</f>
        <v>0</v>
      </c>
      <c r="D23" s="155">
        <f>IF(ISBLANK($A23), "", VLOOKUP($A23, 入力シート!$A$7:$J$1000, 6, FALSE))</f>
        <v>0</v>
      </c>
      <c r="E23" s="155">
        <f>IF(ISBLANK($A23), "", VLOOKUP($A23, 入力シート!$A$7:$J$1000, 7, FALSE))</f>
        <v>0</v>
      </c>
      <c r="F23" s="156">
        <f>IF(ISBLANK($A23), "", VLOOKUP($A23, 入力シート!$A$7:$J$1000, 10, FALSE))</f>
        <v>0</v>
      </c>
      <c r="G23" s="150">
        <f>IF(ISBLANK($A23), "", VLOOKUP($A23, 入力シート!$A$7:$J$1000, 9, FALSE))</f>
        <v>0</v>
      </c>
      <c r="H23" s="135">
        <f>IF(ISBLANK($A23), "", VLOOKUP($A23, 入力シート!$A$7:$J$1000, 8, FALSE))</f>
        <v>0</v>
      </c>
    </row>
    <row r="24" spans="1:16" ht="29.25" customHeight="1" x14ac:dyDescent="0.15">
      <c r="A24" s="152"/>
      <c r="B24" s="153"/>
      <c r="C24" s="154"/>
      <c r="D24" s="155"/>
      <c r="E24" s="155"/>
      <c r="F24" s="156"/>
      <c r="G24" s="151"/>
      <c r="H24" s="115"/>
      <c r="O24" s="112"/>
      <c r="P24" s="108"/>
    </row>
    <row r="25" spans="1:16" ht="29.25" customHeight="1" x14ac:dyDescent="0.15">
      <c r="A25" s="152">
        <v>11</v>
      </c>
      <c r="B25" s="153">
        <f>IF(ISBLANK($A25), "", VLOOKUP($A25, 入力シート!$A$7:$J$1000, 3, FALSE))</f>
        <v>0</v>
      </c>
      <c r="C25" s="154">
        <f>IF(ISBLANK($A25), "", VLOOKUP($A25, 入力シート!$A$7:$J$1000, 4, FALSE))</f>
        <v>0</v>
      </c>
      <c r="D25" s="155">
        <f>IF(ISBLANK($A25), "", VLOOKUP($A25, 入力シート!$A$7:$J$1000, 6, FALSE))</f>
        <v>0</v>
      </c>
      <c r="E25" s="155">
        <f>IF(ISBLANK($A25), "", VLOOKUP($A25, 入力シート!$A$7:$J$1000, 7, FALSE))</f>
        <v>0</v>
      </c>
      <c r="F25" s="156">
        <f>IF(ISBLANK($A25), "", VLOOKUP($A25, 入力シート!$A$7:$J$1000, 10, FALSE))</f>
        <v>0</v>
      </c>
      <c r="G25" s="150">
        <f>IF(ISBLANK($A25), "", VLOOKUP($A25, 入力シート!$A$7:$J$1000, 9, FALSE))</f>
        <v>0</v>
      </c>
      <c r="H25" s="135">
        <f>IF(ISBLANK($A25), "", VLOOKUP($A25, 入力シート!$A$7:$J$1000, 8, FALSE))</f>
        <v>0</v>
      </c>
    </row>
    <row r="26" spans="1:16" ht="29.25" customHeight="1" x14ac:dyDescent="0.15">
      <c r="A26" s="152"/>
      <c r="B26" s="153"/>
      <c r="C26" s="154"/>
      <c r="D26" s="155"/>
      <c r="E26" s="155"/>
      <c r="F26" s="156"/>
      <c r="G26" s="151"/>
      <c r="H26" s="115"/>
    </row>
    <row r="27" spans="1:16" ht="29.25" customHeight="1" x14ac:dyDescent="0.15">
      <c r="A27" s="152">
        <v>12</v>
      </c>
      <c r="B27" s="153">
        <f>IF(ISBLANK($A27), "", VLOOKUP($A27, 入力シート!$A$7:$J$1000, 3, FALSE))</f>
        <v>0</v>
      </c>
      <c r="C27" s="155">
        <f>IF(ISBLANK($A27), "", VLOOKUP($A27, 入力シート!$A$7:$J$1000, 4, FALSE))</f>
        <v>0</v>
      </c>
      <c r="D27" s="155">
        <f>IF(ISBLANK($A27), "", VLOOKUP($A27, 入力シート!$A$7:$J$1000, 6, FALSE))</f>
        <v>0</v>
      </c>
      <c r="E27" s="155">
        <f>IF(ISBLANK($A27), "", VLOOKUP($A27, 入力シート!$A$7:$J$1000, 7, FALSE))</f>
        <v>0</v>
      </c>
      <c r="F27" s="156">
        <f>IF(ISBLANK($A27), "", VLOOKUP($A27, 入力シート!$A$7:$J$1000, 10, FALSE))</f>
        <v>0</v>
      </c>
      <c r="G27" s="150">
        <f>IF(ISBLANK($A27), "", VLOOKUP($A27, 入力シート!$A$7:$J$1000, 9, FALSE))</f>
        <v>0</v>
      </c>
      <c r="H27" s="135">
        <f>IF(ISBLANK($A27), "", VLOOKUP($A27, 入力シート!$A$7:$J$1000, 8, FALSE))</f>
        <v>0</v>
      </c>
    </row>
    <row r="28" spans="1:16" ht="29.25" customHeight="1" x14ac:dyDescent="0.15">
      <c r="A28" s="152"/>
      <c r="B28" s="153"/>
      <c r="C28" s="155"/>
      <c r="D28" s="155"/>
      <c r="E28" s="155"/>
      <c r="F28" s="156"/>
      <c r="G28" s="151"/>
      <c r="H28" s="115"/>
    </row>
    <row r="29" spans="1:16" ht="29.25" customHeight="1" x14ac:dyDescent="0.15">
      <c r="A29" s="152">
        <v>13</v>
      </c>
      <c r="B29" s="153">
        <f>IF(ISBLANK($A29), "", VLOOKUP($A29, 入力シート!$A$7:$J$1000, 3, FALSE))</f>
        <v>0</v>
      </c>
      <c r="C29" s="155">
        <f>IF(ISBLANK($A29), "", VLOOKUP($A29, 入力シート!$A$7:$J$1000, 4, FALSE))</f>
        <v>0</v>
      </c>
      <c r="D29" s="155">
        <f>IF(ISBLANK($A29), "", VLOOKUP($A29, 入力シート!$A$7:$J$1000, 6, FALSE))</f>
        <v>0</v>
      </c>
      <c r="E29" s="155">
        <f>IF(ISBLANK($A29), "", VLOOKUP($A29, 入力シート!$A$7:$J$1000, 7, FALSE))</f>
        <v>0</v>
      </c>
      <c r="F29" s="156">
        <f>IF(ISBLANK($A29), "", VLOOKUP($A29, 入力シート!$A$7:$J$1000, 10, FALSE))</f>
        <v>0</v>
      </c>
      <c r="G29" s="150">
        <f>IF(ISBLANK($A29), "", VLOOKUP($A29, 入力シート!$A$7:$J$1000, 9, FALSE))</f>
        <v>0</v>
      </c>
      <c r="H29" s="135">
        <f>IF(ISBLANK($A29), "", VLOOKUP($A29, 入力シート!$A$7:$J$1000, 8, FALSE))</f>
        <v>0</v>
      </c>
    </row>
    <row r="30" spans="1:16" ht="29.25" customHeight="1" x14ac:dyDescent="0.15">
      <c r="A30" s="152"/>
      <c r="B30" s="153"/>
      <c r="C30" s="155"/>
      <c r="D30" s="155"/>
      <c r="E30" s="155"/>
      <c r="F30" s="156"/>
      <c r="G30" s="151"/>
      <c r="H30" s="115"/>
    </row>
    <row r="31" spans="1:16" ht="29.25" customHeight="1" x14ac:dyDescent="0.15">
      <c r="A31" s="152">
        <v>14</v>
      </c>
      <c r="B31" s="153">
        <f>IF(ISBLANK($A31), "", VLOOKUP($A31, 入力シート!$A$7:$J$1000, 3, FALSE))</f>
        <v>0</v>
      </c>
      <c r="C31" s="155">
        <f>IF(ISBLANK($A31), "", VLOOKUP($A31, 入力シート!$A$7:$J$1000, 4, FALSE))</f>
        <v>0</v>
      </c>
      <c r="D31" s="155">
        <f>IF(ISBLANK($A31), "", VLOOKUP($A31, 入力シート!$A$7:$J$1000, 6, FALSE))</f>
        <v>0</v>
      </c>
      <c r="E31" s="155">
        <f>IF(ISBLANK($A31), "", VLOOKUP($A31, 入力シート!$A$7:$J$1000, 7, FALSE))</f>
        <v>0</v>
      </c>
      <c r="F31" s="156">
        <f>IF(ISBLANK($A31), "", VLOOKUP($A31, 入力シート!$A$7:$J$1000, 10, FALSE))</f>
        <v>0</v>
      </c>
      <c r="G31" s="150">
        <f>IF(ISBLANK($A31), "", VLOOKUP($A31, 入力シート!$A$7:$J$1000, 9, FALSE))</f>
        <v>0</v>
      </c>
      <c r="H31" s="135">
        <f>IF(ISBLANK($A31), "", VLOOKUP($A31, 入力シート!$A$7:$J$1000, 8, FALSE))</f>
        <v>0</v>
      </c>
    </row>
    <row r="32" spans="1:16" ht="29.25" customHeight="1" x14ac:dyDescent="0.15">
      <c r="A32" s="152"/>
      <c r="B32" s="153"/>
      <c r="C32" s="155"/>
      <c r="D32" s="155"/>
      <c r="E32" s="155"/>
      <c r="F32" s="156"/>
      <c r="G32" s="151"/>
      <c r="H32" s="115"/>
    </row>
  </sheetData>
  <mergeCells count="107">
    <mergeCell ref="G29:G30"/>
    <mergeCell ref="A31:A32"/>
    <mergeCell ref="B31:B32"/>
    <mergeCell ref="C31:C32"/>
    <mergeCell ref="D31:D32"/>
    <mergeCell ref="E31:E32"/>
    <mergeCell ref="F31:F32"/>
    <mergeCell ref="G31:G32"/>
    <mergeCell ref="A29:A30"/>
    <mergeCell ref="B29:B30"/>
    <mergeCell ref="C29:C30"/>
    <mergeCell ref="D29:D30"/>
    <mergeCell ref="E29:E30"/>
    <mergeCell ref="F29:F30"/>
    <mergeCell ref="G25:G26"/>
    <mergeCell ref="A27:A28"/>
    <mergeCell ref="B27:B28"/>
    <mergeCell ref="C27:C28"/>
    <mergeCell ref="D27:D28"/>
    <mergeCell ref="E27:E28"/>
    <mergeCell ref="F27:F28"/>
    <mergeCell ref="G27:G28"/>
    <mergeCell ref="A25:A26"/>
    <mergeCell ref="B25:B26"/>
    <mergeCell ref="C25:C26"/>
    <mergeCell ref="D25:D26"/>
    <mergeCell ref="E25:E26"/>
    <mergeCell ref="F25:F26"/>
    <mergeCell ref="G21:G22"/>
    <mergeCell ref="A23:A24"/>
    <mergeCell ref="B23:B24"/>
    <mergeCell ref="C23:C24"/>
    <mergeCell ref="D23:D24"/>
    <mergeCell ref="E23:E24"/>
    <mergeCell ref="F23:F24"/>
    <mergeCell ref="G23:G24"/>
    <mergeCell ref="A21:A22"/>
    <mergeCell ref="B21:B22"/>
    <mergeCell ref="C21:C22"/>
    <mergeCell ref="D21:D22"/>
    <mergeCell ref="E21:E22"/>
    <mergeCell ref="F21:F22"/>
    <mergeCell ref="G17:G18"/>
    <mergeCell ref="A19:A20"/>
    <mergeCell ref="B19:B20"/>
    <mergeCell ref="C19:C20"/>
    <mergeCell ref="D19:D20"/>
    <mergeCell ref="E19:E20"/>
    <mergeCell ref="F19:F20"/>
    <mergeCell ref="G19:G20"/>
    <mergeCell ref="A17:A18"/>
    <mergeCell ref="B17:B18"/>
    <mergeCell ref="C17:C18"/>
    <mergeCell ref="D17:D18"/>
    <mergeCell ref="E17:E18"/>
    <mergeCell ref="F17:F18"/>
    <mergeCell ref="G13:G14"/>
    <mergeCell ref="A15:A16"/>
    <mergeCell ref="B15:B16"/>
    <mergeCell ref="C15:C16"/>
    <mergeCell ref="D15:D16"/>
    <mergeCell ref="E15:E16"/>
    <mergeCell ref="F15:F16"/>
    <mergeCell ref="G15:G16"/>
    <mergeCell ref="A13:A14"/>
    <mergeCell ref="B13:B14"/>
    <mergeCell ref="C13:C14"/>
    <mergeCell ref="D13:D14"/>
    <mergeCell ref="E13:E14"/>
    <mergeCell ref="F13:F14"/>
    <mergeCell ref="G9:G10"/>
    <mergeCell ref="A11:A12"/>
    <mergeCell ref="B11:B12"/>
    <mergeCell ref="C11:C12"/>
    <mergeCell ref="D11:D12"/>
    <mergeCell ref="E11:E12"/>
    <mergeCell ref="F11:F12"/>
    <mergeCell ref="G11:G12"/>
    <mergeCell ref="A9:A10"/>
    <mergeCell ref="B9:B10"/>
    <mergeCell ref="C9:C10"/>
    <mergeCell ref="D9:D10"/>
    <mergeCell ref="E9:E10"/>
    <mergeCell ref="F9:F10"/>
    <mergeCell ref="G5:G6"/>
    <mergeCell ref="A7:A8"/>
    <mergeCell ref="B7:B8"/>
    <mergeCell ref="C7:C8"/>
    <mergeCell ref="D7:D8"/>
    <mergeCell ref="E7:E8"/>
    <mergeCell ref="F7:F8"/>
    <mergeCell ref="G7:G8"/>
    <mergeCell ref="A5:A6"/>
    <mergeCell ref="B5:B6"/>
    <mergeCell ref="C5:C6"/>
    <mergeCell ref="D5:D6"/>
    <mergeCell ref="E5:E6"/>
    <mergeCell ref="F5:F6"/>
    <mergeCell ref="B1:H1"/>
    <mergeCell ref="C2:E2"/>
    <mergeCell ref="F2:H2"/>
    <mergeCell ref="B3:B4"/>
    <mergeCell ref="C3:C4"/>
    <mergeCell ref="D3:D4"/>
    <mergeCell ref="E3:E4"/>
    <mergeCell ref="F3:F4"/>
    <mergeCell ref="G3:G4"/>
  </mergeCells>
  <phoneticPr fontId="2"/>
  <printOptions horizontalCentered="1"/>
  <pageMargins left="0.59055118110236227" right="0.31" top="0.98425196850393704" bottom="0.7" header="0.51181102362204722" footer="0.51181102362204722"/>
  <pageSetup paperSize="9" orientation="portrait"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90FA3E-6536-4EE6-9798-3F552C020230}">
  <dimension ref="A1:P32"/>
  <sheetViews>
    <sheetView showZeros="0" zoomScale="85" zoomScaleNormal="85" workbookViewId="0">
      <selection activeCell="C5" sqref="C5:C30"/>
    </sheetView>
  </sheetViews>
  <sheetFormatPr defaultRowHeight="13.5" x14ac:dyDescent="0.15"/>
  <cols>
    <col min="1" max="1" width="9" style="106"/>
    <col min="2" max="2" width="18.625" style="106" customWidth="1"/>
    <col min="3" max="3" width="8.625" style="108" customWidth="1"/>
    <col min="4" max="6" width="8.625" style="106" customWidth="1"/>
    <col min="7" max="7" width="13.125" style="106" customWidth="1"/>
    <col min="8" max="8" width="29.125" style="106" customWidth="1"/>
    <col min="9" max="9" width="21.75" style="106" customWidth="1"/>
    <col min="10" max="10" width="10" style="108" customWidth="1"/>
    <col min="11" max="12" width="10" style="106" customWidth="1"/>
    <col min="13" max="13" width="27.5" style="106" customWidth="1"/>
    <col min="14" max="14" width="12.5" style="106" customWidth="1"/>
    <col min="15" max="15" width="28.75" style="106" customWidth="1"/>
    <col min="16" max="16" width="15.375" style="106" customWidth="1"/>
    <col min="17" max="16384" width="9" style="106"/>
  </cols>
  <sheetData>
    <row r="1" spans="1:16" ht="34.5" customHeight="1" x14ac:dyDescent="0.15">
      <c r="B1" s="147" t="s">
        <v>21</v>
      </c>
      <c r="C1" s="147"/>
      <c r="D1" s="147"/>
      <c r="E1" s="147"/>
      <c r="F1" s="147"/>
      <c r="G1" s="147"/>
      <c r="H1" s="147"/>
      <c r="I1" s="107"/>
      <c r="J1" s="107"/>
      <c r="K1" s="107"/>
      <c r="L1" s="107"/>
      <c r="M1" s="107"/>
      <c r="N1" s="107"/>
      <c r="O1" s="107"/>
      <c r="P1" s="107"/>
    </row>
    <row r="2" spans="1:16" ht="33" customHeight="1" x14ac:dyDescent="0.15">
      <c r="G2" s="109"/>
      <c r="H2" s="109"/>
      <c r="M2" s="109"/>
      <c r="N2" s="109"/>
      <c r="O2" s="109"/>
      <c r="P2" s="109"/>
    </row>
    <row r="3" spans="1:16" ht="27.75" customHeight="1" x14ac:dyDescent="0.15">
      <c r="B3" s="148" t="s">
        <v>18</v>
      </c>
      <c r="C3" s="148" t="s">
        <v>2</v>
      </c>
      <c r="D3" s="148" t="s">
        <v>3</v>
      </c>
      <c r="E3" s="148" t="s">
        <v>4</v>
      </c>
      <c r="F3" s="149" t="s">
        <v>126</v>
      </c>
      <c r="G3" s="148" t="s">
        <v>20</v>
      </c>
      <c r="H3" s="110" t="s">
        <v>129</v>
      </c>
      <c r="I3" s="111"/>
      <c r="J3" s="111"/>
      <c r="K3" s="111"/>
      <c r="L3" s="111"/>
      <c r="M3" s="111"/>
      <c r="N3" s="111"/>
      <c r="O3" s="111"/>
      <c r="P3" s="111"/>
    </row>
    <row r="4" spans="1:16" ht="27.75" customHeight="1" x14ac:dyDescent="0.15">
      <c r="B4" s="148"/>
      <c r="C4" s="148"/>
      <c r="D4" s="148"/>
      <c r="E4" s="148"/>
      <c r="F4" s="149"/>
      <c r="G4" s="148"/>
      <c r="H4" s="110" t="s">
        <v>130</v>
      </c>
      <c r="O4" s="112"/>
      <c r="P4" s="108"/>
    </row>
    <row r="5" spans="1:16" ht="29.25" customHeight="1" x14ac:dyDescent="0.15">
      <c r="A5" s="152">
        <v>1</v>
      </c>
      <c r="B5" s="153" t="e">
        <f>IF(ISBLANK($A5), "", VLOOKUP($A5, 入力シート!$A$7:$J$1000, 3, FALSE))</f>
        <v>#REF!</v>
      </c>
      <c r="C5" s="154" t="e">
        <f>IF(ISBLANK($A5), "", VLOOKUP($A5, 入力シート!$A$7:$J$1000, 4, FALSE))</f>
        <v>#REF!</v>
      </c>
      <c r="D5" s="155" t="e">
        <f>IF(ISBLANK($A5), "", VLOOKUP($A5, 入力シート!$A$7:$J$1000, 6, FALSE))</f>
        <v>#REF!</v>
      </c>
      <c r="E5" s="155" t="e">
        <f>IF(ISBLANK($A5), "", VLOOKUP($A5, 入力シート!$A$7:$J$1000, 7, FALSE))</f>
        <v>#REF!</v>
      </c>
      <c r="F5" s="156" t="e">
        <f>IF(ISBLANK($A5), "", VLOOKUP($A5, 入力シート!$A$7:$J$1000, 10, FALSE))</f>
        <v>#REF!</v>
      </c>
      <c r="G5" s="150" t="e">
        <f>IF(ISBLANK($A5), "", VLOOKUP($A5, 入力シート!$A$7:$J$1000, 9, FALSE))</f>
        <v>#REF!</v>
      </c>
      <c r="H5" s="135" t="e">
        <f>IF(ISBLANK($A5), "", VLOOKUP($A5, 入力シート!$A$7:$J$1000, 8, FALSE))</f>
        <v>#REF!</v>
      </c>
    </row>
    <row r="6" spans="1:16" ht="29.25" customHeight="1" x14ac:dyDescent="0.15">
      <c r="A6" s="152"/>
      <c r="B6" s="153"/>
      <c r="C6" s="154"/>
      <c r="D6" s="155"/>
      <c r="E6" s="155"/>
      <c r="F6" s="156"/>
      <c r="G6" s="151"/>
      <c r="H6" s="115"/>
      <c r="O6" s="112"/>
      <c r="P6" s="108"/>
    </row>
    <row r="7" spans="1:16" ht="29.25" customHeight="1" x14ac:dyDescent="0.15">
      <c r="A7" s="152">
        <v>2</v>
      </c>
      <c r="B7" s="153" t="e">
        <f>IF(ISBLANK($A7), "", VLOOKUP($A7, 入力シート!$A$7:$J$1000, 3, FALSE))</f>
        <v>#REF!</v>
      </c>
      <c r="C7" s="154" t="e">
        <f>IF(ISBLANK($A7), "", VLOOKUP($A7, 入力シート!$A$7:$J$1000, 4, FALSE))</f>
        <v>#REF!</v>
      </c>
      <c r="D7" s="155" t="e">
        <f>IF(ISBLANK($A7), "", VLOOKUP($A7, 入力シート!$A$7:$J$1000, 6, FALSE))</f>
        <v>#REF!</v>
      </c>
      <c r="E7" s="155" t="e">
        <f>IF(ISBLANK($A7), "", VLOOKUP($A7, 入力シート!$A$7:$J$1000, 7, FALSE))</f>
        <v>#REF!</v>
      </c>
      <c r="F7" s="156" t="e">
        <f>IF(ISBLANK($A7), "", VLOOKUP($A7, 入力シート!$A$7:$J$1000, 10, FALSE))</f>
        <v>#REF!</v>
      </c>
      <c r="G7" s="150" t="e">
        <f>IF(ISBLANK($A7), "", VLOOKUP($A7, 入力シート!$A$7:$J$1000, 9, FALSE))</f>
        <v>#REF!</v>
      </c>
      <c r="H7" s="135" t="e">
        <f>IF(ISBLANK($A7), "", VLOOKUP($A7, 入力シート!$A$7:$J$1000, 8, FALSE))</f>
        <v>#REF!</v>
      </c>
    </row>
    <row r="8" spans="1:16" ht="29.25" customHeight="1" x14ac:dyDescent="0.15">
      <c r="A8" s="152"/>
      <c r="B8" s="153"/>
      <c r="C8" s="154"/>
      <c r="D8" s="155"/>
      <c r="E8" s="155"/>
      <c r="F8" s="156"/>
      <c r="G8" s="151"/>
      <c r="H8" s="115"/>
      <c r="O8" s="112"/>
      <c r="P8" s="108"/>
    </row>
    <row r="9" spans="1:16" ht="29.25" customHeight="1" x14ac:dyDescent="0.15">
      <c r="A9" s="152">
        <v>3</v>
      </c>
      <c r="B9" s="153" t="e">
        <f>IF(ISBLANK($A9), "", VLOOKUP($A9, 入力シート!$A$7:$J$1000, 3, FALSE))</f>
        <v>#REF!</v>
      </c>
      <c r="C9" s="154" t="e">
        <f>IF(ISBLANK($A9), "", VLOOKUP($A9, 入力シート!$A$7:$J$1000, 4, FALSE))</f>
        <v>#REF!</v>
      </c>
      <c r="D9" s="155" t="e">
        <f>IF(ISBLANK($A9), "", VLOOKUP($A9, 入力シート!$A$7:$J$1000, 6, FALSE))</f>
        <v>#REF!</v>
      </c>
      <c r="E9" s="155" t="e">
        <f>IF(ISBLANK($A9), "", VLOOKUP($A9, 入力シート!$A$7:$J$1000, 7, FALSE))</f>
        <v>#REF!</v>
      </c>
      <c r="F9" s="156" t="e">
        <f>IF(ISBLANK($A9), "", VLOOKUP($A9, 入力シート!$A$7:$J$1000, 10, FALSE))</f>
        <v>#REF!</v>
      </c>
      <c r="G9" s="150" t="e">
        <f>IF(ISBLANK($A9), "", VLOOKUP($A9, 入力シート!$A$7:$J$1000, 9, FALSE))</f>
        <v>#REF!</v>
      </c>
      <c r="H9" s="135" t="e">
        <f>IF(ISBLANK($A9), "", VLOOKUP($A9, 入力シート!$A$7:$J$1000, 8, FALSE))</f>
        <v>#REF!</v>
      </c>
    </row>
    <row r="10" spans="1:16" ht="29.25" customHeight="1" x14ac:dyDescent="0.15">
      <c r="A10" s="152"/>
      <c r="B10" s="153"/>
      <c r="C10" s="154"/>
      <c r="D10" s="155"/>
      <c r="E10" s="155"/>
      <c r="F10" s="156"/>
      <c r="G10" s="151"/>
      <c r="H10" s="115"/>
      <c r="O10" s="112"/>
      <c r="P10" s="108"/>
    </row>
    <row r="11" spans="1:16" ht="29.25" customHeight="1" x14ac:dyDescent="0.15">
      <c r="A11" s="152">
        <v>4</v>
      </c>
      <c r="B11" s="153" t="e">
        <f>IF(ISBLANK($A11), "", VLOOKUP($A11, 入力シート!$A$7:$J$1000, 3, FALSE))</f>
        <v>#REF!</v>
      </c>
      <c r="C11" s="154" t="e">
        <f>IF(ISBLANK($A11), "", VLOOKUP($A11, 入力シート!$A$7:$J$1000, 4, FALSE))</f>
        <v>#REF!</v>
      </c>
      <c r="D11" s="155" t="e">
        <f>IF(ISBLANK($A11), "", VLOOKUP($A11, 入力シート!$A$7:$J$1000, 6, FALSE))</f>
        <v>#REF!</v>
      </c>
      <c r="E11" s="155" t="e">
        <f>IF(ISBLANK($A11), "", VLOOKUP($A11, 入力シート!$A$7:$J$1000, 7, FALSE))</f>
        <v>#REF!</v>
      </c>
      <c r="F11" s="156" t="e">
        <f>IF(ISBLANK($A11), "", VLOOKUP($A11, 入力シート!$A$7:$J$1000, 10, FALSE))</f>
        <v>#REF!</v>
      </c>
      <c r="G11" s="150" t="e">
        <f>IF(ISBLANK($A11), "", VLOOKUP($A11, 入力シート!$A$7:$J$1000, 9, FALSE))</f>
        <v>#REF!</v>
      </c>
      <c r="H11" s="135" t="e">
        <f>IF(ISBLANK($A11), "", VLOOKUP($A11, 入力シート!$A$7:$J$1000, 8, FALSE))</f>
        <v>#REF!</v>
      </c>
    </row>
    <row r="12" spans="1:16" ht="29.25" customHeight="1" x14ac:dyDescent="0.15">
      <c r="A12" s="152"/>
      <c r="B12" s="153"/>
      <c r="C12" s="154"/>
      <c r="D12" s="155"/>
      <c r="E12" s="155"/>
      <c r="F12" s="156"/>
      <c r="G12" s="151"/>
      <c r="H12" s="115"/>
      <c r="O12" s="112"/>
      <c r="P12" s="108"/>
    </row>
    <row r="13" spans="1:16" ht="29.25" customHeight="1" x14ac:dyDescent="0.15">
      <c r="A13" s="152">
        <v>5</v>
      </c>
      <c r="B13" s="153" t="e">
        <f>IF(ISBLANK($A13), "", VLOOKUP($A13, 入力シート!$A$7:$J$1000, 3, FALSE))</f>
        <v>#REF!</v>
      </c>
      <c r="C13" s="154" t="e">
        <f>IF(ISBLANK($A13), "", VLOOKUP($A13, 入力シート!$A$7:$J$1000, 4, FALSE))</f>
        <v>#REF!</v>
      </c>
      <c r="D13" s="155" t="e">
        <f>IF(ISBLANK($A13), "", VLOOKUP($A13, 入力シート!$A$7:$J$1000, 6, FALSE))</f>
        <v>#REF!</v>
      </c>
      <c r="E13" s="155" t="e">
        <f>IF(ISBLANK($A13), "", VLOOKUP($A13, 入力シート!$A$7:$J$1000, 7, FALSE))</f>
        <v>#REF!</v>
      </c>
      <c r="F13" s="156" t="e">
        <f>IF(ISBLANK($A13), "", VLOOKUP($A13, 入力シート!$A$7:$J$1000, 10, FALSE))</f>
        <v>#REF!</v>
      </c>
      <c r="G13" s="150" t="e">
        <f>IF(ISBLANK($A13), "", VLOOKUP($A13, 入力シート!$A$7:$J$1000, 9, FALSE))</f>
        <v>#REF!</v>
      </c>
      <c r="H13" s="135" t="e">
        <f>IF(ISBLANK($A13), "", VLOOKUP($A13, 入力シート!$A$7:$J$1000, 8, FALSE))</f>
        <v>#REF!</v>
      </c>
    </row>
    <row r="14" spans="1:16" ht="29.25" customHeight="1" x14ac:dyDescent="0.15">
      <c r="A14" s="152"/>
      <c r="B14" s="153"/>
      <c r="C14" s="154"/>
      <c r="D14" s="155"/>
      <c r="E14" s="155"/>
      <c r="F14" s="156"/>
      <c r="G14" s="151"/>
      <c r="H14" s="115"/>
      <c r="O14" s="112"/>
      <c r="P14" s="108"/>
    </row>
    <row r="15" spans="1:16" ht="29.25" customHeight="1" x14ac:dyDescent="0.15">
      <c r="A15" s="152">
        <v>6</v>
      </c>
      <c r="B15" s="153" t="e">
        <f>IF(ISBLANK($A15), "", VLOOKUP($A15, 入力シート!$A$7:$J$1000, 3, FALSE))</f>
        <v>#REF!</v>
      </c>
      <c r="C15" s="154" t="e">
        <f>IF(ISBLANK($A15), "", VLOOKUP($A15, 入力シート!$A$7:$J$1000, 4, FALSE))</f>
        <v>#REF!</v>
      </c>
      <c r="D15" s="155" t="e">
        <f>IF(ISBLANK($A15), "", VLOOKUP($A15, 入力シート!$A$7:$J$1000, 6, FALSE))</f>
        <v>#REF!</v>
      </c>
      <c r="E15" s="155" t="e">
        <f>IF(ISBLANK($A15), "", VLOOKUP($A15, 入力シート!$A$7:$J$1000, 7, FALSE))</f>
        <v>#REF!</v>
      </c>
      <c r="F15" s="156" t="e">
        <f>IF(ISBLANK($A15), "", VLOOKUP($A15, 入力シート!$A$7:$J$1000, 10, FALSE))</f>
        <v>#REF!</v>
      </c>
      <c r="G15" s="150" t="e">
        <f>IF(ISBLANK($A15), "", VLOOKUP($A15, 入力シート!$A$7:$J$1000, 9, FALSE))</f>
        <v>#REF!</v>
      </c>
      <c r="H15" s="135" t="e">
        <f>IF(ISBLANK($A15), "", VLOOKUP($A15, 入力シート!$A$7:$J$1000, 8, FALSE))</f>
        <v>#REF!</v>
      </c>
    </row>
    <row r="16" spans="1:16" ht="29.25" customHeight="1" x14ac:dyDescent="0.15">
      <c r="A16" s="152"/>
      <c r="B16" s="153"/>
      <c r="C16" s="154"/>
      <c r="D16" s="155"/>
      <c r="E16" s="155"/>
      <c r="F16" s="156"/>
      <c r="G16" s="151"/>
      <c r="H16" s="115"/>
      <c r="O16" s="112"/>
      <c r="P16" s="108"/>
    </row>
    <row r="17" spans="1:16" ht="29.25" customHeight="1" x14ac:dyDescent="0.15">
      <c r="A17" s="152">
        <v>7</v>
      </c>
      <c r="B17" s="153">
        <f>IF(ISBLANK($A17), "", VLOOKUP($A17, 入力シート!$A$7:$J$1000, 3, FALSE))</f>
        <v>0</v>
      </c>
      <c r="C17" s="154">
        <f>IF(ISBLANK($A17), "", VLOOKUP($A17, 入力シート!$A$7:$J$1000, 4, FALSE))</f>
        <v>0</v>
      </c>
      <c r="D17" s="155">
        <f>IF(ISBLANK($A17), "", VLOOKUP($A17, 入力シート!$A$7:$J$1000, 6, FALSE))</f>
        <v>0</v>
      </c>
      <c r="E17" s="155">
        <f>IF(ISBLANK($A17), "", VLOOKUP($A17, 入力シート!$A$7:$J$1000, 7, FALSE))</f>
        <v>0</v>
      </c>
      <c r="F17" s="156">
        <f>IF(ISBLANK($A17), "", VLOOKUP($A17, 入力シート!$A$7:$J$1000, 10, FALSE))</f>
        <v>0</v>
      </c>
      <c r="G17" s="150">
        <f>IF(ISBLANK($A17), "", VLOOKUP($A17, 入力シート!$A$7:$J$1000, 9, FALSE))</f>
        <v>0</v>
      </c>
      <c r="H17" s="135">
        <f>IF(ISBLANK($A17), "", VLOOKUP($A17, 入力シート!$A$7:$J$1000, 8, FALSE))</f>
        <v>0</v>
      </c>
    </row>
    <row r="18" spans="1:16" ht="29.25" customHeight="1" x14ac:dyDescent="0.15">
      <c r="A18" s="152"/>
      <c r="B18" s="153"/>
      <c r="C18" s="154"/>
      <c r="D18" s="155"/>
      <c r="E18" s="155"/>
      <c r="F18" s="156"/>
      <c r="G18" s="151"/>
      <c r="H18" s="115"/>
      <c r="O18" s="112"/>
      <c r="P18" s="108"/>
    </row>
    <row r="19" spans="1:16" ht="29.25" customHeight="1" x14ac:dyDescent="0.15">
      <c r="A19" s="152">
        <v>8</v>
      </c>
      <c r="B19" s="153">
        <f>IF(ISBLANK($A19), "", VLOOKUP($A19, 入力シート!$A$7:$J$1000, 3, FALSE))</f>
        <v>0</v>
      </c>
      <c r="C19" s="154">
        <f>IF(ISBLANK($A19), "", VLOOKUP($A19, 入力シート!$A$7:$J$1000, 4, FALSE))</f>
        <v>0</v>
      </c>
      <c r="D19" s="155">
        <f>IF(ISBLANK($A19), "", VLOOKUP($A19, 入力シート!$A$7:$J$1000, 6, FALSE))</f>
        <v>0</v>
      </c>
      <c r="E19" s="155">
        <f>IF(ISBLANK($A19), "", VLOOKUP($A19, 入力シート!$A$7:$J$1000, 7, FALSE))</f>
        <v>0</v>
      </c>
      <c r="F19" s="156">
        <f>IF(ISBLANK($A19), "", VLOOKUP($A19, 入力シート!$A$7:$J$1000, 10, FALSE))</f>
        <v>0</v>
      </c>
      <c r="G19" s="150">
        <f>IF(ISBLANK($A19), "", VLOOKUP($A19, 入力シート!$A$7:$J$1000, 9, FALSE))</f>
        <v>0</v>
      </c>
      <c r="H19" s="135">
        <f>IF(ISBLANK($A19), "", VLOOKUP($A19, 入力シート!$A$7:$J$1000, 8, FALSE))</f>
        <v>0</v>
      </c>
    </row>
    <row r="20" spans="1:16" ht="29.25" customHeight="1" x14ac:dyDescent="0.15">
      <c r="A20" s="152"/>
      <c r="B20" s="153"/>
      <c r="C20" s="154"/>
      <c r="D20" s="155"/>
      <c r="E20" s="155"/>
      <c r="F20" s="156"/>
      <c r="G20" s="151"/>
      <c r="H20" s="115"/>
      <c r="O20" s="112"/>
      <c r="P20" s="108"/>
    </row>
    <row r="21" spans="1:16" ht="29.25" customHeight="1" x14ac:dyDescent="0.15">
      <c r="A21" s="152">
        <v>9</v>
      </c>
      <c r="B21" s="153">
        <f>IF(ISBLANK($A21), "", VLOOKUP($A21, 入力シート!$A$7:$J$1000, 3, FALSE))</f>
        <v>0</v>
      </c>
      <c r="C21" s="154">
        <f>IF(ISBLANK($A21), "", VLOOKUP($A21, 入力シート!$A$7:$J$1000, 4, FALSE))</f>
        <v>0</v>
      </c>
      <c r="D21" s="155">
        <f>IF(ISBLANK($A21), "", VLOOKUP($A21, 入力シート!$A$7:$J$1000, 6, FALSE))</f>
        <v>0</v>
      </c>
      <c r="E21" s="155">
        <f>IF(ISBLANK($A21), "", VLOOKUP($A21, 入力シート!$A$7:$J$1000, 7, FALSE))</f>
        <v>0</v>
      </c>
      <c r="F21" s="156">
        <f>IF(ISBLANK($A21), "", VLOOKUP($A21, 入力シート!$A$7:$J$1000, 10, FALSE))</f>
        <v>0</v>
      </c>
      <c r="G21" s="150">
        <f>IF(ISBLANK($A21), "", VLOOKUP($A21, 入力シート!$A$7:$J$1000, 9, FALSE))</f>
        <v>0</v>
      </c>
      <c r="H21" s="135">
        <f>IF(ISBLANK($A21), "", VLOOKUP($A21, 入力シート!$A$7:$J$1000, 8, FALSE))</f>
        <v>0</v>
      </c>
    </row>
    <row r="22" spans="1:16" ht="29.25" customHeight="1" x14ac:dyDescent="0.15">
      <c r="A22" s="152"/>
      <c r="B22" s="153"/>
      <c r="C22" s="154"/>
      <c r="D22" s="155"/>
      <c r="E22" s="155"/>
      <c r="F22" s="156"/>
      <c r="G22" s="151"/>
      <c r="H22" s="115"/>
      <c r="O22" s="112"/>
      <c r="P22" s="108"/>
    </row>
    <row r="23" spans="1:16" ht="29.25" customHeight="1" x14ac:dyDescent="0.15">
      <c r="A23" s="152">
        <v>10</v>
      </c>
      <c r="B23" s="153">
        <f>IF(ISBLANK($A23), "", VLOOKUP($A23, 入力シート!$A$7:$J$1000, 3, FALSE))</f>
        <v>0</v>
      </c>
      <c r="C23" s="154">
        <f>IF(ISBLANK($A23), "", VLOOKUP($A23, 入力シート!$A$7:$J$1000, 4, FALSE))</f>
        <v>0</v>
      </c>
      <c r="D23" s="155">
        <f>IF(ISBLANK($A23), "", VLOOKUP($A23, 入力シート!$A$7:$J$1000, 6, FALSE))</f>
        <v>0</v>
      </c>
      <c r="E23" s="155">
        <f>IF(ISBLANK($A23), "", VLOOKUP($A23, 入力シート!$A$7:$J$1000, 7, FALSE))</f>
        <v>0</v>
      </c>
      <c r="F23" s="156">
        <f>IF(ISBLANK($A23), "", VLOOKUP($A23, 入力シート!$A$7:$J$1000, 10, FALSE))</f>
        <v>0</v>
      </c>
      <c r="G23" s="150">
        <f>IF(ISBLANK($A23), "", VLOOKUP($A23, 入力シート!$A$7:$J$1000, 9, FALSE))</f>
        <v>0</v>
      </c>
      <c r="H23" s="135">
        <f>IF(ISBLANK($A23), "", VLOOKUP($A23, 入力シート!$A$7:$J$1000, 8, FALSE))</f>
        <v>0</v>
      </c>
    </row>
    <row r="24" spans="1:16" ht="29.25" customHeight="1" x14ac:dyDescent="0.15">
      <c r="A24" s="152"/>
      <c r="B24" s="153"/>
      <c r="C24" s="154"/>
      <c r="D24" s="155"/>
      <c r="E24" s="155"/>
      <c r="F24" s="156"/>
      <c r="G24" s="151"/>
      <c r="H24" s="115"/>
      <c r="O24" s="112"/>
      <c r="P24" s="108"/>
    </row>
    <row r="25" spans="1:16" ht="29.25" customHeight="1" x14ac:dyDescent="0.15">
      <c r="A25" s="152">
        <v>11</v>
      </c>
      <c r="B25" s="153">
        <f>IF(ISBLANK($A25), "", VLOOKUP($A25, 入力シート!$A$7:$J$1000, 3, FALSE))</f>
        <v>0</v>
      </c>
      <c r="C25" s="154">
        <f>IF(ISBLANK($A25), "", VLOOKUP($A25, 入力シート!$A$7:$J$1000, 4, FALSE))</f>
        <v>0</v>
      </c>
      <c r="D25" s="155">
        <f>IF(ISBLANK($A25), "", VLOOKUP($A25, 入力シート!$A$7:$J$1000, 6, FALSE))</f>
        <v>0</v>
      </c>
      <c r="E25" s="155">
        <f>IF(ISBLANK($A25), "", VLOOKUP($A25, 入力シート!$A$7:$J$1000, 7, FALSE))</f>
        <v>0</v>
      </c>
      <c r="F25" s="156">
        <f>IF(ISBLANK($A25), "", VLOOKUP($A25, 入力シート!$A$7:$J$1000, 10, FALSE))</f>
        <v>0</v>
      </c>
      <c r="G25" s="150">
        <f>IF(ISBLANK($A25), "", VLOOKUP($A25, 入力シート!$A$7:$J$1000, 9, FALSE))</f>
        <v>0</v>
      </c>
      <c r="H25" s="135">
        <f>IF(ISBLANK($A25), "", VLOOKUP($A25, 入力シート!$A$7:$J$1000, 8, FALSE))</f>
        <v>0</v>
      </c>
    </row>
    <row r="26" spans="1:16" ht="29.25" customHeight="1" x14ac:dyDescent="0.15">
      <c r="A26" s="152"/>
      <c r="B26" s="153"/>
      <c r="C26" s="154"/>
      <c r="D26" s="155"/>
      <c r="E26" s="155"/>
      <c r="F26" s="156"/>
      <c r="G26" s="151"/>
      <c r="H26" s="115"/>
    </row>
    <row r="27" spans="1:16" ht="29.25" customHeight="1" x14ac:dyDescent="0.15">
      <c r="A27" s="152">
        <v>12</v>
      </c>
      <c r="B27" s="153">
        <f>IF(ISBLANK($A27), "", VLOOKUP($A27, 入力シート!$A$7:$J$1000, 3, FALSE))</f>
        <v>0</v>
      </c>
      <c r="C27" s="154">
        <f>IF(ISBLANK($A27), "", VLOOKUP($A27, 入力シート!$A$7:$J$1000, 4, FALSE))</f>
        <v>0</v>
      </c>
      <c r="D27" s="155">
        <f>IF(ISBLANK($A27), "", VLOOKUP($A27, 入力シート!$A$7:$J$1000, 6, FALSE))</f>
        <v>0</v>
      </c>
      <c r="E27" s="155">
        <f>IF(ISBLANK($A27), "", VLOOKUP($A27, 入力シート!$A$7:$J$1000, 7, FALSE))</f>
        <v>0</v>
      </c>
      <c r="F27" s="156">
        <f>IF(ISBLANK($A27), "", VLOOKUP($A27, 入力シート!$A$7:$J$1000, 10, FALSE))</f>
        <v>0</v>
      </c>
      <c r="G27" s="150">
        <f>IF(ISBLANK($A27), "", VLOOKUP($A27, 入力シート!$A$7:$J$1000, 9, FALSE))</f>
        <v>0</v>
      </c>
      <c r="H27" s="135">
        <f>IF(ISBLANK($A27), "", VLOOKUP($A27, 入力シート!$A$7:$J$1000, 8, FALSE))</f>
        <v>0</v>
      </c>
    </row>
    <row r="28" spans="1:16" ht="29.25" customHeight="1" x14ac:dyDescent="0.15">
      <c r="A28" s="152"/>
      <c r="B28" s="153"/>
      <c r="C28" s="154"/>
      <c r="D28" s="155"/>
      <c r="E28" s="155"/>
      <c r="F28" s="156"/>
      <c r="G28" s="151"/>
      <c r="H28" s="115"/>
    </row>
    <row r="29" spans="1:16" ht="29.25" customHeight="1" x14ac:dyDescent="0.15">
      <c r="A29" s="152">
        <v>13</v>
      </c>
      <c r="B29" s="153">
        <f>IF(ISBLANK($A29), "", VLOOKUP($A29, 入力シート!$A$7:$J$1000, 3, FALSE))</f>
        <v>0</v>
      </c>
      <c r="C29" s="154">
        <f>IF(ISBLANK($A29), "", VLOOKUP($A29, 入力シート!$A$7:$J$1000, 4, FALSE))</f>
        <v>0</v>
      </c>
      <c r="D29" s="155">
        <f>IF(ISBLANK($A29), "", VLOOKUP($A29, 入力シート!$A$7:$J$1000, 6, FALSE))</f>
        <v>0</v>
      </c>
      <c r="E29" s="155">
        <f>IF(ISBLANK($A29), "", VLOOKUP($A29, 入力シート!$A$7:$J$1000, 7, FALSE))</f>
        <v>0</v>
      </c>
      <c r="F29" s="156">
        <f>IF(ISBLANK($A29), "", VLOOKUP($A29, 入力シート!$A$7:$J$1000, 10, FALSE))</f>
        <v>0</v>
      </c>
      <c r="G29" s="150">
        <f>IF(ISBLANK($A29), "", VLOOKUP($A29, 入力シート!$A$7:$J$1000, 9, FALSE))</f>
        <v>0</v>
      </c>
      <c r="H29" s="135">
        <f>IF(ISBLANK($A29), "", VLOOKUP($A29, 入力シート!$A$7:$J$1000, 8, FALSE))</f>
        <v>0</v>
      </c>
    </row>
    <row r="30" spans="1:16" ht="29.25" customHeight="1" x14ac:dyDescent="0.15">
      <c r="A30" s="152"/>
      <c r="B30" s="153"/>
      <c r="C30" s="154"/>
      <c r="D30" s="155"/>
      <c r="E30" s="155"/>
      <c r="F30" s="156"/>
      <c r="G30" s="151"/>
      <c r="H30" s="115"/>
    </row>
    <row r="31" spans="1:16" ht="29.25" customHeight="1" x14ac:dyDescent="0.15">
      <c r="A31" s="152">
        <v>14</v>
      </c>
      <c r="B31" s="153">
        <f>IF(ISBLANK($A31), "", VLOOKUP($A31, 入力シート!$A$7:$J$1000, 3, FALSE))</f>
        <v>0</v>
      </c>
      <c r="C31" s="155">
        <f>IF(ISBLANK($A31), "", VLOOKUP($A31, 入力シート!$A$7:$J$1000, 4, FALSE))</f>
        <v>0</v>
      </c>
      <c r="D31" s="155">
        <f>IF(ISBLANK($A31), "", VLOOKUP($A31, 入力シート!$A$7:$J$1000, 6, FALSE))</f>
        <v>0</v>
      </c>
      <c r="E31" s="155">
        <f>IF(ISBLANK($A31), "", VLOOKUP($A31, 入力シート!$A$7:$J$1000, 7, FALSE))</f>
        <v>0</v>
      </c>
      <c r="F31" s="156">
        <f>IF(ISBLANK($A31), "", VLOOKUP($A31, 入力シート!$A$7:$J$1000, 10, FALSE))</f>
        <v>0</v>
      </c>
      <c r="G31" s="150">
        <f>IF(ISBLANK($A31), "", VLOOKUP($A31, 入力シート!$A$7:$J$1000, 9, FALSE))</f>
        <v>0</v>
      </c>
      <c r="H31" s="135">
        <f>IF(ISBLANK($A31), "", VLOOKUP($A31, 入力シート!$A$7:$J$1000, 8, FALSE))</f>
        <v>0</v>
      </c>
    </row>
    <row r="32" spans="1:16" ht="29.25" customHeight="1" x14ac:dyDescent="0.15">
      <c r="A32" s="152"/>
      <c r="B32" s="153"/>
      <c r="C32" s="155"/>
      <c r="D32" s="155"/>
      <c r="E32" s="155"/>
      <c r="F32" s="156"/>
      <c r="G32" s="151"/>
      <c r="H32" s="115"/>
    </row>
  </sheetData>
  <mergeCells count="105">
    <mergeCell ref="G29:G30"/>
    <mergeCell ref="A31:A32"/>
    <mergeCell ref="B31:B32"/>
    <mergeCell ref="C31:C32"/>
    <mergeCell ref="D31:D32"/>
    <mergeCell ref="E31:E32"/>
    <mergeCell ref="F31:F32"/>
    <mergeCell ref="G31:G32"/>
    <mergeCell ref="A29:A30"/>
    <mergeCell ref="B29:B30"/>
    <mergeCell ref="C29:C30"/>
    <mergeCell ref="D29:D30"/>
    <mergeCell ref="E29:E30"/>
    <mergeCell ref="F29:F30"/>
    <mergeCell ref="G25:G26"/>
    <mergeCell ref="A27:A28"/>
    <mergeCell ref="B27:B28"/>
    <mergeCell ref="C27:C28"/>
    <mergeCell ref="D27:D28"/>
    <mergeCell ref="E27:E28"/>
    <mergeCell ref="F27:F28"/>
    <mergeCell ref="G27:G28"/>
    <mergeCell ref="A25:A26"/>
    <mergeCell ref="B25:B26"/>
    <mergeCell ref="C25:C26"/>
    <mergeCell ref="D25:D26"/>
    <mergeCell ref="E25:E26"/>
    <mergeCell ref="F25:F26"/>
    <mergeCell ref="G21:G22"/>
    <mergeCell ref="A23:A24"/>
    <mergeCell ref="B23:B24"/>
    <mergeCell ref="C23:C24"/>
    <mergeCell ref="D23:D24"/>
    <mergeCell ref="E23:E24"/>
    <mergeCell ref="F23:F24"/>
    <mergeCell ref="G23:G24"/>
    <mergeCell ref="A21:A22"/>
    <mergeCell ref="B21:B22"/>
    <mergeCell ref="C21:C22"/>
    <mergeCell ref="D21:D22"/>
    <mergeCell ref="E21:E22"/>
    <mergeCell ref="F21:F22"/>
    <mergeCell ref="G17:G18"/>
    <mergeCell ref="A19:A20"/>
    <mergeCell ref="B19:B20"/>
    <mergeCell ref="C19:C20"/>
    <mergeCell ref="D19:D20"/>
    <mergeCell ref="E19:E20"/>
    <mergeCell ref="F19:F20"/>
    <mergeCell ref="G19:G20"/>
    <mergeCell ref="A17:A18"/>
    <mergeCell ref="B17:B18"/>
    <mergeCell ref="C17:C18"/>
    <mergeCell ref="D17:D18"/>
    <mergeCell ref="E17:E18"/>
    <mergeCell ref="F17:F18"/>
    <mergeCell ref="G13:G14"/>
    <mergeCell ref="A15:A16"/>
    <mergeCell ref="B15:B16"/>
    <mergeCell ref="C15:C16"/>
    <mergeCell ref="D15:D16"/>
    <mergeCell ref="E15:E16"/>
    <mergeCell ref="F15:F16"/>
    <mergeCell ref="G15:G16"/>
    <mergeCell ref="A13:A14"/>
    <mergeCell ref="B13:B14"/>
    <mergeCell ref="C13:C14"/>
    <mergeCell ref="D13:D14"/>
    <mergeCell ref="E13:E14"/>
    <mergeCell ref="F13:F14"/>
    <mergeCell ref="G9:G10"/>
    <mergeCell ref="A11:A12"/>
    <mergeCell ref="B11:B12"/>
    <mergeCell ref="C11:C12"/>
    <mergeCell ref="D11:D12"/>
    <mergeCell ref="E11:E12"/>
    <mergeCell ref="F11:F12"/>
    <mergeCell ref="G11:G12"/>
    <mergeCell ref="A9:A10"/>
    <mergeCell ref="B9:B10"/>
    <mergeCell ref="C9:C10"/>
    <mergeCell ref="D9:D10"/>
    <mergeCell ref="E9:E10"/>
    <mergeCell ref="F9:F10"/>
    <mergeCell ref="B1:H1"/>
    <mergeCell ref="B3:B4"/>
    <mergeCell ref="C3:C4"/>
    <mergeCell ref="D3:D4"/>
    <mergeCell ref="E3:E4"/>
    <mergeCell ref="F3:F4"/>
    <mergeCell ref="G3:G4"/>
    <mergeCell ref="G5:G6"/>
    <mergeCell ref="A7:A8"/>
    <mergeCell ref="B7:B8"/>
    <mergeCell ref="C7:C8"/>
    <mergeCell ref="D7:D8"/>
    <mergeCell ref="E7:E8"/>
    <mergeCell ref="F7:F8"/>
    <mergeCell ref="G7:G8"/>
    <mergeCell ref="A5:A6"/>
    <mergeCell ref="B5:B6"/>
    <mergeCell ref="C5:C6"/>
    <mergeCell ref="D5:D6"/>
    <mergeCell ref="E5:E6"/>
    <mergeCell ref="F5:F6"/>
  </mergeCells>
  <phoneticPr fontId="2"/>
  <printOptions horizontalCentered="1"/>
  <pageMargins left="0.59055118110236227" right="0.31" top="0.98425196850393704" bottom="0.7" header="0.51181102362204722" footer="0.51181102362204722"/>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5FA0C-0FBB-4FB2-A1BC-594D9FB9384F}">
  <dimension ref="A1:P32"/>
  <sheetViews>
    <sheetView showZeros="0" topLeftCell="A21" zoomScaleNormal="100" workbookViewId="0">
      <selection activeCell="C5" sqref="C5:C30"/>
    </sheetView>
  </sheetViews>
  <sheetFormatPr defaultRowHeight="13.5" x14ac:dyDescent="0.15"/>
  <cols>
    <col min="1" max="1" width="9" style="106"/>
    <col min="2" max="2" width="18.625" style="106" customWidth="1"/>
    <col min="3" max="3" width="8.625" style="108" customWidth="1"/>
    <col min="4" max="6" width="8.625" style="106" customWidth="1"/>
    <col min="7" max="8" width="21.125" style="106" customWidth="1"/>
    <col min="9" max="9" width="21.75" style="106" customWidth="1"/>
    <col min="10" max="10" width="10" style="108" customWidth="1"/>
    <col min="11" max="12" width="10" style="106" customWidth="1"/>
    <col min="13" max="13" width="27.5" style="106" customWidth="1"/>
    <col min="14" max="14" width="12.5" style="106" customWidth="1"/>
    <col min="15" max="15" width="28.75" style="106" customWidth="1"/>
    <col min="16" max="16" width="15.375" style="106" customWidth="1"/>
    <col min="17" max="16384" width="9" style="106"/>
  </cols>
  <sheetData>
    <row r="1" spans="1:16" ht="34.5" customHeight="1" x14ac:dyDescent="0.15">
      <c r="B1" s="147" t="s">
        <v>21</v>
      </c>
      <c r="C1" s="147"/>
      <c r="D1" s="147"/>
      <c r="E1" s="147"/>
      <c r="F1" s="147"/>
      <c r="G1" s="147"/>
      <c r="H1" s="147"/>
      <c r="I1" s="107"/>
      <c r="J1" s="107"/>
      <c r="K1" s="107"/>
      <c r="L1" s="107"/>
      <c r="M1" s="107"/>
      <c r="N1" s="107"/>
      <c r="O1" s="107"/>
      <c r="P1" s="107"/>
    </row>
    <row r="2" spans="1:16" ht="33" customHeight="1" x14ac:dyDescent="0.15">
      <c r="G2" s="109"/>
      <c r="H2" s="109"/>
      <c r="M2" s="109"/>
      <c r="N2" s="109"/>
      <c r="O2" s="109"/>
      <c r="P2" s="109"/>
    </row>
    <row r="3" spans="1:16" ht="27.75" customHeight="1" x14ac:dyDescent="0.15">
      <c r="B3" s="148" t="s">
        <v>18</v>
      </c>
      <c r="C3" s="148" t="s">
        <v>2</v>
      </c>
      <c r="D3" s="148" t="s">
        <v>3</v>
      </c>
      <c r="E3" s="148" t="s">
        <v>4</v>
      </c>
      <c r="F3" s="149" t="s">
        <v>126</v>
      </c>
      <c r="G3" s="148" t="s">
        <v>131</v>
      </c>
      <c r="H3" s="115" t="s">
        <v>132</v>
      </c>
      <c r="I3" s="111"/>
      <c r="J3" s="111"/>
      <c r="K3" s="111"/>
      <c r="L3" s="111"/>
      <c r="M3" s="111"/>
      <c r="N3" s="111"/>
      <c r="O3" s="111"/>
      <c r="P3" s="111"/>
    </row>
    <row r="4" spans="1:16" ht="27.75" customHeight="1" x14ac:dyDescent="0.15">
      <c r="B4" s="148"/>
      <c r="C4" s="148"/>
      <c r="D4" s="148"/>
      <c r="E4" s="148"/>
      <c r="F4" s="149"/>
      <c r="G4" s="148"/>
      <c r="H4" s="110" t="s">
        <v>130</v>
      </c>
      <c r="O4" s="112"/>
      <c r="P4" s="108"/>
    </row>
    <row r="5" spans="1:16" ht="29.25" customHeight="1" x14ac:dyDescent="0.15">
      <c r="A5" s="152">
        <v>1</v>
      </c>
      <c r="B5" s="153" t="e">
        <f>IF(ISBLANK($A5), "", VLOOKUP($A5, 入力シート!$A$7:$J$1000, 3, FALSE))</f>
        <v>#REF!</v>
      </c>
      <c r="C5" s="160" t="e">
        <f>IF(ISBLANK($A5), "", VLOOKUP($A5, 入力シート!$A$7:$J$1000, 4, FALSE))</f>
        <v>#REF!</v>
      </c>
      <c r="D5" s="155" t="e">
        <f>IF(ISBLANK($A5), "", VLOOKUP($A5, 入力シート!$A$7:$J$1000, 6, FALSE))</f>
        <v>#REF!</v>
      </c>
      <c r="E5" s="155" t="e">
        <f>IF(ISBLANK($A5), "", VLOOKUP($A5, 入力シート!$A$7:$J$1000, 7, FALSE))</f>
        <v>#REF!</v>
      </c>
      <c r="F5" s="156" t="e">
        <f>IF(ISBLANK($A5), "", VLOOKUP($A5, 入力シート!$A$7:$J$1000, 10, FALSE))</f>
        <v>#REF!</v>
      </c>
      <c r="G5" s="150" t="e">
        <f>IF(ISBLANK($A5), "", VLOOKUP($A5, 入力シート!$A$7:$J$1000, 9, FALSE))</f>
        <v>#REF!</v>
      </c>
      <c r="H5" s="135" t="e">
        <f>IF(ISBLANK($A5), "", VLOOKUP($A5, 入力シート!$A$7:$J$1000, 8, FALSE))</f>
        <v>#REF!</v>
      </c>
    </row>
    <row r="6" spans="1:16" ht="29.25" customHeight="1" x14ac:dyDescent="0.15">
      <c r="A6" s="152"/>
      <c r="B6" s="153"/>
      <c r="C6" s="160"/>
      <c r="D6" s="155"/>
      <c r="E6" s="155"/>
      <c r="F6" s="156"/>
      <c r="G6" s="151"/>
      <c r="H6" s="115"/>
      <c r="O6" s="112"/>
      <c r="P6" s="108"/>
    </row>
    <row r="7" spans="1:16" ht="29.25" customHeight="1" x14ac:dyDescent="0.15">
      <c r="A7" s="152">
        <v>2</v>
      </c>
      <c r="B7" s="153" t="e">
        <f>IF(ISBLANK($A7), "", VLOOKUP($A7, 入力シート!$A$7:$J$1000, 3, FALSE))</f>
        <v>#REF!</v>
      </c>
      <c r="C7" s="160" t="e">
        <f>IF(ISBLANK($A7), "", VLOOKUP($A7, 入力シート!$A$7:$J$1000, 4, FALSE))</f>
        <v>#REF!</v>
      </c>
      <c r="D7" s="155" t="e">
        <f>IF(ISBLANK($A7), "", VLOOKUP($A7, 入力シート!$A$7:$J$1000, 6, FALSE))</f>
        <v>#REF!</v>
      </c>
      <c r="E7" s="155" t="e">
        <f>IF(ISBLANK($A7), "", VLOOKUP($A7, 入力シート!$A$7:$J$1000, 7, FALSE))</f>
        <v>#REF!</v>
      </c>
      <c r="F7" s="156" t="e">
        <f>IF(ISBLANK($A7), "", VLOOKUP($A7, 入力シート!$A$7:$J$1000, 10, FALSE))</f>
        <v>#REF!</v>
      </c>
      <c r="G7" s="150" t="e">
        <f>IF(ISBLANK($A7), "", VLOOKUP($A7, 入力シート!$A$7:$J$1000, 9, FALSE))</f>
        <v>#REF!</v>
      </c>
      <c r="H7" s="135" t="e">
        <f>IF(ISBLANK($A7), "", VLOOKUP($A7, 入力シート!$A$7:$J$1000, 8, FALSE))</f>
        <v>#REF!</v>
      </c>
    </row>
    <row r="8" spans="1:16" ht="29.25" customHeight="1" x14ac:dyDescent="0.15">
      <c r="A8" s="152"/>
      <c r="B8" s="153"/>
      <c r="C8" s="160"/>
      <c r="D8" s="155"/>
      <c r="E8" s="155"/>
      <c r="F8" s="156"/>
      <c r="G8" s="151"/>
      <c r="H8" s="115"/>
      <c r="O8" s="112"/>
      <c r="P8" s="108"/>
    </row>
    <row r="9" spans="1:16" ht="29.25" customHeight="1" x14ac:dyDescent="0.15">
      <c r="A9" s="152">
        <v>3</v>
      </c>
      <c r="B9" s="153" t="e">
        <f>IF(ISBLANK($A9), "", VLOOKUP($A9, 入力シート!$A$7:$J$1000, 3, FALSE))</f>
        <v>#REF!</v>
      </c>
      <c r="C9" s="160" t="e">
        <f>IF(ISBLANK($A9), "", VLOOKUP($A9, 入力シート!$A$7:$J$1000, 4, FALSE))</f>
        <v>#REF!</v>
      </c>
      <c r="D9" s="155" t="e">
        <f>IF(ISBLANK($A9), "", VLOOKUP($A9, 入力シート!$A$7:$J$1000, 6, FALSE))</f>
        <v>#REF!</v>
      </c>
      <c r="E9" s="155" t="e">
        <f>IF(ISBLANK($A9), "", VLOOKUP($A9, 入力シート!$A$7:$J$1000, 7, FALSE))</f>
        <v>#REF!</v>
      </c>
      <c r="F9" s="156" t="e">
        <f>IF(ISBLANK($A9), "", VLOOKUP($A9, 入力シート!$A$7:$J$1000, 10, FALSE))</f>
        <v>#REF!</v>
      </c>
      <c r="G9" s="150" t="e">
        <f>IF(ISBLANK($A9), "", VLOOKUP($A9, 入力シート!$A$7:$J$1000, 9, FALSE))</f>
        <v>#REF!</v>
      </c>
      <c r="H9" s="135" t="e">
        <f>IF(ISBLANK($A9), "", VLOOKUP($A9, 入力シート!$A$7:$J$1000, 8, FALSE))</f>
        <v>#REF!</v>
      </c>
    </row>
    <row r="10" spans="1:16" ht="29.25" customHeight="1" x14ac:dyDescent="0.15">
      <c r="A10" s="152"/>
      <c r="B10" s="153"/>
      <c r="C10" s="160"/>
      <c r="D10" s="155"/>
      <c r="E10" s="155"/>
      <c r="F10" s="156"/>
      <c r="G10" s="151"/>
      <c r="H10" s="115"/>
      <c r="O10" s="112"/>
      <c r="P10" s="108"/>
    </row>
    <row r="11" spans="1:16" ht="29.25" customHeight="1" x14ac:dyDescent="0.15">
      <c r="A11" s="152">
        <v>4</v>
      </c>
      <c r="B11" s="153" t="e">
        <f>IF(ISBLANK($A11), "", VLOOKUP($A11, 入力シート!$A$7:$J$1000, 3, FALSE))</f>
        <v>#REF!</v>
      </c>
      <c r="C11" s="160" t="e">
        <f>IF(ISBLANK($A11), "", VLOOKUP($A11, 入力シート!$A$7:$J$1000, 4, FALSE))</f>
        <v>#REF!</v>
      </c>
      <c r="D11" s="155" t="e">
        <f>IF(ISBLANK($A11), "", VLOOKUP($A11, 入力シート!$A$7:$J$1000, 6, FALSE))</f>
        <v>#REF!</v>
      </c>
      <c r="E11" s="155" t="e">
        <f>IF(ISBLANK($A11), "", VLOOKUP($A11, 入力シート!$A$7:$J$1000, 7, FALSE))</f>
        <v>#REF!</v>
      </c>
      <c r="F11" s="156" t="e">
        <f>IF(ISBLANK($A11), "", VLOOKUP($A11, 入力シート!$A$7:$J$1000, 10, FALSE))</f>
        <v>#REF!</v>
      </c>
      <c r="G11" s="150" t="e">
        <f>IF(ISBLANK($A11), "", VLOOKUP($A11, 入力シート!$A$7:$J$1000, 9, FALSE))</f>
        <v>#REF!</v>
      </c>
      <c r="H11" s="135" t="e">
        <f>IF(ISBLANK($A11), "", VLOOKUP($A11, 入力シート!$A$7:$J$1000, 8, FALSE))</f>
        <v>#REF!</v>
      </c>
    </row>
    <row r="12" spans="1:16" ht="29.25" customHeight="1" x14ac:dyDescent="0.15">
      <c r="A12" s="152"/>
      <c r="B12" s="153"/>
      <c r="C12" s="160"/>
      <c r="D12" s="155"/>
      <c r="E12" s="155"/>
      <c r="F12" s="156"/>
      <c r="G12" s="151"/>
      <c r="H12" s="115"/>
      <c r="O12" s="112"/>
      <c r="P12" s="108"/>
    </row>
    <row r="13" spans="1:16" ht="29.25" customHeight="1" x14ac:dyDescent="0.15">
      <c r="A13" s="152">
        <v>5</v>
      </c>
      <c r="B13" s="153" t="e">
        <f>IF(ISBLANK($A13), "", VLOOKUP($A13, 入力シート!$A$7:$J$1000, 3, FALSE))</f>
        <v>#REF!</v>
      </c>
      <c r="C13" s="160" t="e">
        <f>IF(ISBLANK($A13), "", VLOOKUP($A13, 入力シート!$A$7:$J$1000, 4, FALSE))</f>
        <v>#REF!</v>
      </c>
      <c r="D13" s="155" t="e">
        <f>IF(ISBLANK($A13), "", VLOOKUP($A13, 入力シート!$A$7:$J$1000, 6, FALSE))</f>
        <v>#REF!</v>
      </c>
      <c r="E13" s="155" t="e">
        <f>IF(ISBLANK($A13), "", VLOOKUP($A13, 入力シート!$A$7:$J$1000, 7, FALSE))</f>
        <v>#REF!</v>
      </c>
      <c r="F13" s="156" t="e">
        <f>IF(ISBLANK($A13), "", VLOOKUP($A13, 入力シート!$A$7:$J$1000, 10, FALSE))</f>
        <v>#REF!</v>
      </c>
      <c r="G13" s="150" t="e">
        <f>IF(ISBLANK($A13), "", VLOOKUP($A13, 入力シート!$A$7:$J$1000, 9, FALSE))</f>
        <v>#REF!</v>
      </c>
      <c r="H13" s="135" t="e">
        <f>IF(ISBLANK($A13), "", VLOOKUP($A13, 入力シート!$A$7:$J$1000, 8, FALSE))</f>
        <v>#REF!</v>
      </c>
    </row>
    <row r="14" spans="1:16" ht="29.25" customHeight="1" x14ac:dyDescent="0.15">
      <c r="A14" s="152"/>
      <c r="B14" s="153"/>
      <c r="C14" s="160"/>
      <c r="D14" s="155"/>
      <c r="E14" s="155"/>
      <c r="F14" s="156"/>
      <c r="G14" s="151"/>
      <c r="H14" s="115"/>
      <c r="O14" s="112"/>
      <c r="P14" s="108"/>
    </row>
    <row r="15" spans="1:16" ht="29.25" customHeight="1" x14ac:dyDescent="0.15">
      <c r="A15" s="152">
        <v>6</v>
      </c>
      <c r="B15" s="153" t="e">
        <f>IF(ISBLANK($A15), "", VLOOKUP($A15, 入力シート!$A$7:$J$1000, 3, FALSE))</f>
        <v>#REF!</v>
      </c>
      <c r="C15" s="160" t="e">
        <f>IF(ISBLANK($A15), "", VLOOKUP($A15, 入力シート!$A$7:$J$1000, 4, FALSE))</f>
        <v>#REF!</v>
      </c>
      <c r="D15" s="155" t="e">
        <f>IF(ISBLANK($A15), "", VLOOKUP($A15, 入力シート!$A$7:$J$1000, 6, FALSE))</f>
        <v>#REF!</v>
      </c>
      <c r="E15" s="155" t="e">
        <f>IF(ISBLANK($A15), "", VLOOKUP($A15, 入力シート!$A$7:$J$1000, 7, FALSE))</f>
        <v>#REF!</v>
      </c>
      <c r="F15" s="156" t="e">
        <f>IF(ISBLANK($A15), "", VLOOKUP($A15, 入力シート!$A$7:$J$1000, 10, FALSE))</f>
        <v>#REF!</v>
      </c>
      <c r="G15" s="150" t="e">
        <f>IF(ISBLANK($A15), "", VLOOKUP($A15, 入力シート!$A$7:$J$1000, 9, FALSE))</f>
        <v>#REF!</v>
      </c>
      <c r="H15" s="135" t="e">
        <f>IF(ISBLANK($A15), "", VLOOKUP($A15, 入力シート!$A$7:$J$1000, 8, FALSE))</f>
        <v>#REF!</v>
      </c>
    </row>
    <row r="16" spans="1:16" ht="29.25" customHeight="1" x14ac:dyDescent="0.15">
      <c r="A16" s="152"/>
      <c r="B16" s="153"/>
      <c r="C16" s="160"/>
      <c r="D16" s="155"/>
      <c r="E16" s="155"/>
      <c r="F16" s="156"/>
      <c r="G16" s="151"/>
      <c r="H16" s="115"/>
      <c r="O16" s="112"/>
      <c r="P16" s="108"/>
    </row>
    <row r="17" spans="1:16" ht="29.25" customHeight="1" x14ac:dyDescent="0.15">
      <c r="A17" s="152">
        <v>7</v>
      </c>
      <c r="B17" s="153">
        <f>IF(ISBLANK($A17), "", VLOOKUP($A17, 入力シート!$A$7:$J$1000, 3, FALSE))</f>
        <v>0</v>
      </c>
      <c r="C17" s="160">
        <f>IF(ISBLANK($A17), "", VLOOKUP($A17, 入力シート!$A$7:$J$1000, 4, FALSE))</f>
        <v>0</v>
      </c>
      <c r="D17" s="155">
        <f>IF(ISBLANK($A17), "", VLOOKUP($A17, 入力シート!$A$7:$J$1000, 6, FALSE))</f>
        <v>0</v>
      </c>
      <c r="E17" s="155">
        <f>IF(ISBLANK($A17), "", VLOOKUP($A17, 入力シート!$A$7:$J$1000, 7, FALSE))</f>
        <v>0</v>
      </c>
      <c r="F17" s="156">
        <f>IF(ISBLANK($A17), "", VLOOKUP($A17, 入力シート!$A$7:$J$1000, 10, FALSE))</f>
        <v>0</v>
      </c>
      <c r="G17" s="150">
        <f>IF(ISBLANK($A17), "", VLOOKUP($A17, 入力シート!$A$7:$J$1000, 9, FALSE))</f>
        <v>0</v>
      </c>
      <c r="H17" s="135">
        <f>IF(ISBLANK($A17), "", VLOOKUP($A17, 入力シート!$A$7:$J$1000, 8, FALSE))</f>
        <v>0</v>
      </c>
    </row>
    <row r="18" spans="1:16" ht="29.25" customHeight="1" x14ac:dyDescent="0.15">
      <c r="A18" s="152"/>
      <c r="B18" s="153"/>
      <c r="C18" s="160"/>
      <c r="D18" s="155"/>
      <c r="E18" s="155"/>
      <c r="F18" s="156"/>
      <c r="G18" s="151"/>
      <c r="H18" s="115"/>
      <c r="O18" s="112"/>
      <c r="P18" s="108"/>
    </row>
    <row r="19" spans="1:16" ht="29.25" customHeight="1" x14ac:dyDescent="0.15">
      <c r="A19" s="152">
        <v>8</v>
      </c>
      <c r="B19" s="153">
        <f>IF(ISBLANK($A19), "", VLOOKUP($A19, 入力シート!$A$7:$J$1000, 3, FALSE))</f>
        <v>0</v>
      </c>
      <c r="C19" s="160">
        <f>IF(ISBLANK($A19), "", VLOOKUP($A19, 入力シート!$A$7:$J$1000, 4, FALSE))</f>
        <v>0</v>
      </c>
      <c r="D19" s="155">
        <f>IF(ISBLANK($A19), "", VLOOKUP($A19, 入力シート!$A$7:$J$1000, 6, FALSE))</f>
        <v>0</v>
      </c>
      <c r="E19" s="155">
        <f>IF(ISBLANK($A19), "", VLOOKUP($A19, 入力シート!$A$7:$J$1000, 7, FALSE))</f>
        <v>0</v>
      </c>
      <c r="F19" s="156">
        <f>IF(ISBLANK($A19), "", VLOOKUP($A19, 入力シート!$A$7:$J$1000, 10, FALSE))</f>
        <v>0</v>
      </c>
      <c r="G19" s="150">
        <f>IF(ISBLANK($A19), "", VLOOKUP($A19, 入力シート!$A$7:$J$1000, 9, FALSE))</f>
        <v>0</v>
      </c>
      <c r="H19" s="135">
        <f>IF(ISBLANK($A19), "", VLOOKUP($A19, 入力シート!$A$7:$J$1000, 8, FALSE))</f>
        <v>0</v>
      </c>
    </row>
    <row r="20" spans="1:16" ht="29.25" customHeight="1" x14ac:dyDescent="0.15">
      <c r="A20" s="152"/>
      <c r="B20" s="153"/>
      <c r="C20" s="160"/>
      <c r="D20" s="155"/>
      <c r="E20" s="155"/>
      <c r="F20" s="156"/>
      <c r="G20" s="151"/>
      <c r="H20" s="115"/>
      <c r="O20" s="112"/>
      <c r="P20" s="108"/>
    </row>
    <row r="21" spans="1:16" ht="29.25" customHeight="1" x14ac:dyDescent="0.15">
      <c r="A21" s="152">
        <v>9</v>
      </c>
      <c r="B21" s="153">
        <f>IF(ISBLANK($A21), "", VLOOKUP($A21, 入力シート!$A$7:$J$1000, 3, FALSE))</f>
        <v>0</v>
      </c>
      <c r="C21" s="160">
        <f>IF(ISBLANK($A21), "", VLOOKUP($A21, 入力シート!$A$7:$J$1000, 4, FALSE))</f>
        <v>0</v>
      </c>
      <c r="D21" s="155">
        <f>IF(ISBLANK($A21), "", VLOOKUP($A21, 入力シート!$A$7:$J$1000, 6, FALSE))</f>
        <v>0</v>
      </c>
      <c r="E21" s="155">
        <f>IF(ISBLANK($A21), "", VLOOKUP($A21, 入力シート!$A$7:$J$1000, 7, FALSE))</f>
        <v>0</v>
      </c>
      <c r="F21" s="156">
        <f>IF(ISBLANK($A21), "", VLOOKUP($A21, 入力シート!$A$7:$J$1000, 10, FALSE))</f>
        <v>0</v>
      </c>
      <c r="G21" s="150">
        <f>IF(ISBLANK($A21), "", VLOOKUP($A21, 入力シート!$A$7:$J$1000, 9, FALSE))</f>
        <v>0</v>
      </c>
      <c r="H21" s="135">
        <f>IF(ISBLANK($A21), "", VLOOKUP($A21, 入力シート!$A$7:$J$1000, 8, FALSE))</f>
        <v>0</v>
      </c>
    </row>
    <row r="22" spans="1:16" ht="29.25" customHeight="1" x14ac:dyDescent="0.15">
      <c r="A22" s="152"/>
      <c r="B22" s="153"/>
      <c r="C22" s="160"/>
      <c r="D22" s="155"/>
      <c r="E22" s="155"/>
      <c r="F22" s="156"/>
      <c r="G22" s="151"/>
      <c r="H22" s="115"/>
      <c r="O22" s="112"/>
      <c r="P22" s="108"/>
    </row>
    <row r="23" spans="1:16" ht="29.25" customHeight="1" x14ac:dyDescent="0.15">
      <c r="A23" s="152">
        <v>10</v>
      </c>
      <c r="B23" s="153">
        <f>IF(ISBLANK($A23), "", VLOOKUP($A23, 入力シート!$A$7:$J$1000, 3, FALSE))</f>
        <v>0</v>
      </c>
      <c r="C23" s="160">
        <f>IF(ISBLANK($A23), "", VLOOKUP($A23, 入力シート!$A$7:$J$1000, 4, FALSE))</f>
        <v>0</v>
      </c>
      <c r="D23" s="155">
        <f>IF(ISBLANK($A23), "", VLOOKUP($A23, 入力シート!$A$7:$J$1000, 6, FALSE))</f>
        <v>0</v>
      </c>
      <c r="E23" s="155">
        <f>IF(ISBLANK($A23), "", VLOOKUP($A23, 入力シート!$A$7:$J$1000, 7, FALSE))</f>
        <v>0</v>
      </c>
      <c r="F23" s="156">
        <f>IF(ISBLANK($A23), "", VLOOKUP($A23, 入力シート!$A$7:$J$1000, 10, FALSE))</f>
        <v>0</v>
      </c>
      <c r="G23" s="150">
        <f>IF(ISBLANK($A23), "", VLOOKUP($A23, 入力シート!$A$7:$J$1000, 9, FALSE))</f>
        <v>0</v>
      </c>
      <c r="H23" s="135">
        <f>IF(ISBLANK($A23), "", VLOOKUP($A23, 入力シート!$A$7:$J$1000, 8, FALSE))</f>
        <v>0</v>
      </c>
    </row>
    <row r="24" spans="1:16" ht="29.25" customHeight="1" x14ac:dyDescent="0.15">
      <c r="A24" s="152"/>
      <c r="B24" s="153"/>
      <c r="C24" s="160"/>
      <c r="D24" s="155"/>
      <c r="E24" s="155"/>
      <c r="F24" s="156"/>
      <c r="G24" s="151"/>
      <c r="H24" s="115"/>
      <c r="O24" s="112"/>
      <c r="P24" s="108"/>
    </row>
    <row r="25" spans="1:16" ht="29.25" customHeight="1" x14ac:dyDescent="0.15">
      <c r="A25" s="152">
        <v>11</v>
      </c>
      <c r="B25" s="153">
        <f>IF(ISBLANK($A25), "", VLOOKUP($A25, 入力シート!$A$7:$J$1000, 3, FALSE))</f>
        <v>0</v>
      </c>
      <c r="C25" s="160">
        <f>IF(ISBLANK($A25), "", VLOOKUP($A25, 入力シート!$A$7:$J$1000, 4, FALSE))</f>
        <v>0</v>
      </c>
      <c r="D25" s="155">
        <f>IF(ISBLANK($A25), "", VLOOKUP($A25, 入力シート!$A$7:$J$1000, 6, FALSE))</f>
        <v>0</v>
      </c>
      <c r="E25" s="155">
        <f>IF(ISBLANK($A25), "", VLOOKUP($A25, 入力シート!$A$7:$J$1000, 7, FALSE))</f>
        <v>0</v>
      </c>
      <c r="F25" s="156">
        <f>IF(ISBLANK($A25), "", VLOOKUP($A25, 入力シート!$A$7:$J$1000, 10, FALSE))</f>
        <v>0</v>
      </c>
      <c r="G25" s="150">
        <f>IF(ISBLANK($A25), "", VLOOKUP($A25, 入力シート!$A$7:$J$1000, 9, FALSE))</f>
        <v>0</v>
      </c>
      <c r="H25" s="135">
        <f>IF(ISBLANK($A25), "", VLOOKUP($A25, 入力シート!$A$7:$J$1000, 8, FALSE))</f>
        <v>0</v>
      </c>
    </row>
    <row r="26" spans="1:16" ht="29.25" customHeight="1" x14ac:dyDescent="0.15">
      <c r="A26" s="152"/>
      <c r="B26" s="153"/>
      <c r="C26" s="160"/>
      <c r="D26" s="155"/>
      <c r="E26" s="155"/>
      <c r="F26" s="156"/>
      <c r="G26" s="151"/>
      <c r="H26" s="115"/>
    </row>
    <row r="27" spans="1:16" ht="29.25" customHeight="1" x14ac:dyDescent="0.15">
      <c r="A27" s="152">
        <v>12</v>
      </c>
      <c r="B27" s="153">
        <f>IF(ISBLANK($A27), "", VLOOKUP($A27, 入力シート!$A$7:$J$1000, 3, FALSE))</f>
        <v>0</v>
      </c>
      <c r="C27" s="160">
        <f>IF(ISBLANK($A27), "", VLOOKUP($A27, 入力シート!$A$7:$J$1000, 4, FALSE))</f>
        <v>0</v>
      </c>
      <c r="D27" s="155">
        <f>IF(ISBLANK($A27), "", VLOOKUP($A27, 入力シート!$A$7:$J$1000, 6, FALSE))</f>
        <v>0</v>
      </c>
      <c r="E27" s="155">
        <f>IF(ISBLANK($A27), "", VLOOKUP($A27, 入力シート!$A$7:$J$1000, 7, FALSE))</f>
        <v>0</v>
      </c>
      <c r="F27" s="156">
        <f>IF(ISBLANK($A27), "", VLOOKUP($A27, 入力シート!$A$7:$J$1000, 10, FALSE))</f>
        <v>0</v>
      </c>
      <c r="G27" s="150">
        <f>IF(ISBLANK($A27), "", VLOOKUP($A27, 入力シート!$A$7:$J$1000, 9, FALSE))</f>
        <v>0</v>
      </c>
      <c r="H27" s="135">
        <f>IF(ISBLANK($A27), "", VLOOKUP($A27, 入力シート!$A$7:$J$1000, 8, FALSE))</f>
        <v>0</v>
      </c>
    </row>
    <row r="28" spans="1:16" ht="29.25" customHeight="1" x14ac:dyDescent="0.15">
      <c r="A28" s="152"/>
      <c r="B28" s="153"/>
      <c r="C28" s="160"/>
      <c r="D28" s="155"/>
      <c r="E28" s="155"/>
      <c r="F28" s="156"/>
      <c r="G28" s="151"/>
      <c r="H28" s="115"/>
    </row>
    <row r="29" spans="1:16" ht="29.25" customHeight="1" x14ac:dyDescent="0.15">
      <c r="A29" s="152">
        <v>13</v>
      </c>
      <c r="B29" s="153">
        <f>IF(ISBLANK($A29), "", VLOOKUP($A29, 入力シート!$A$7:$J$1000, 3, FALSE))</f>
        <v>0</v>
      </c>
      <c r="C29" s="160">
        <f>IF(ISBLANK($A29), "", VLOOKUP($A29, 入力シート!$A$7:$J$1000, 4, FALSE))</f>
        <v>0</v>
      </c>
      <c r="D29" s="155">
        <f>IF(ISBLANK($A29), "", VLOOKUP($A29, 入力シート!$A$7:$J$1000, 6, FALSE))</f>
        <v>0</v>
      </c>
      <c r="E29" s="155">
        <f>IF(ISBLANK($A29), "", VLOOKUP($A29, 入力シート!$A$7:$J$1000, 7, FALSE))</f>
        <v>0</v>
      </c>
      <c r="F29" s="156">
        <f>IF(ISBLANK($A29), "", VLOOKUP($A29, 入力シート!$A$7:$J$1000, 10, FALSE))</f>
        <v>0</v>
      </c>
      <c r="G29" s="150">
        <f>IF(ISBLANK($A29), "", VLOOKUP($A29, 入力シート!$A$7:$J$1000, 9, FALSE))</f>
        <v>0</v>
      </c>
      <c r="H29" s="135">
        <f>IF(ISBLANK($A29), "", VLOOKUP($A29, 入力シート!$A$7:$J$1000, 8, FALSE))</f>
        <v>0</v>
      </c>
    </row>
    <row r="30" spans="1:16" ht="29.25" customHeight="1" x14ac:dyDescent="0.15">
      <c r="A30" s="152"/>
      <c r="B30" s="153"/>
      <c r="C30" s="160"/>
      <c r="D30" s="155"/>
      <c r="E30" s="155"/>
      <c r="F30" s="156"/>
      <c r="G30" s="151"/>
      <c r="H30" s="115"/>
    </row>
    <row r="31" spans="1:16" ht="29.25" customHeight="1" x14ac:dyDescent="0.15">
      <c r="A31" s="152"/>
      <c r="B31" s="153" t="str">
        <f>IF(ISBLANK($A31), "", VLOOKUP($A31, 入力シート!$A$7:$J$1000, 3, FALSE))</f>
        <v/>
      </c>
      <c r="C31" s="160" t="str">
        <f>IF(ISBLANK($A31), "", VLOOKUP($A31, 入力シート!$A$7:$J$1000, 4, FALSE))</f>
        <v/>
      </c>
      <c r="D31" s="155" t="str">
        <f>IF(ISBLANK($A31), "", VLOOKUP($A31, 入力シート!$A$7:$J$1000, 6, FALSE))</f>
        <v/>
      </c>
      <c r="E31" s="155" t="str">
        <f>IF(ISBLANK($A31), "", VLOOKUP($A31, 入力シート!$A$7:$J$1000, 7, FALSE))</f>
        <v/>
      </c>
      <c r="F31" s="156" t="str">
        <f>IF(ISBLANK($A31), "", VLOOKUP($A31, 入力シート!$A$7:$J$1000, 10, FALSE))</f>
        <v/>
      </c>
      <c r="G31" s="150" t="str">
        <f>IF(ISBLANK($A31), "", VLOOKUP($A31, 入力シート!$A$7:$J$1000, 9, FALSE))</f>
        <v/>
      </c>
      <c r="H31" s="135" t="str">
        <f>IF(ISBLANK($A31), "", VLOOKUP($A31, 入力シート!$A$7:$J$1000, 8, FALSE))</f>
        <v/>
      </c>
    </row>
    <row r="32" spans="1:16" ht="29.25" customHeight="1" x14ac:dyDescent="0.15">
      <c r="A32" s="152"/>
      <c r="B32" s="153"/>
      <c r="C32" s="160"/>
      <c r="D32" s="155"/>
      <c r="E32" s="155"/>
      <c r="F32" s="156"/>
      <c r="G32" s="151"/>
      <c r="H32" s="115"/>
    </row>
  </sheetData>
  <mergeCells count="105">
    <mergeCell ref="G29:G30"/>
    <mergeCell ref="A31:A32"/>
    <mergeCell ref="B31:B32"/>
    <mergeCell ref="C31:C32"/>
    <mergeCell ref="D31:D32"/>
    <mergeCell ref="E31:E32"/>
    <mergeCell ref="F31:F32"/>
    <mergeCell ref="G31:G32"/>
    <mergeCell ref="A29:A30"/>
    <mergeCell ref="B29:B30"/>
    <mergeCell ref="C29:C30"/>
    <mergeCell ref="D29:D30"/>
    <mergeCell ref="E29:E30"/>
    <mergeCell ref="F29:F30"/>
    <mergeCell ref="G25:G26"/>
    <mergeCell ref="A27:A28"/>
    <mergeCell ref="B27:B28"/>
    <mergeCell ref="C27:C28"/>
    <mergeCell ref="D27:D28"/>
    <mergeCell ref="E27:E28"/>
    <mergeCell ref="F27:F28"/>
    <mergeCell ref="G27:G28"/>
    <mergeCell ref="A25:A26"/>
    <mergeCell ref="B25:B26"/>
    <mergeCell ref="C25:C26"/>
    <mergeCell ref="D25:D26"/>
    <mergeCell ref="E25:E26"/>
    <mergeCell ref="F25:F26"/>
    <mergeCell ref="G21:G22"/>
    <mergeCell ref="A23:A24"/>
    <mergeCell ref="B23:B24"/>
    <mergeCell ref="C23:C24"/>
    <mergeCell ref="D23:D24"/>
    <mergeCell ref="E23:E24"/>
    <mergeCell ref="F23:F24"/>
    <mergeCell ref="G23:G24"/>
    <mergeCell ref="A21:A22"/>
    <mergeCell ref="B21:B22"/>
    <mergeCell ref="C21:C22"/>
    <mergeCell ref="D21:D22"/>
    <mergeCell ref="E21:E22"/>
    <mergeCell ref="F21:F22"/>
    <mergeCell ref="G17:G18"/>
    <mergeCell ref="A19:A20"/>
    <mergeCell ref="B19:B20"/>
    <mergeCell ref="C19:C20"/>
    <mergeCell ref="D19:D20"/>
    <mergeCell ref="E19:E20"/>
    <mergeCell ref="F19:F20"/>
    <mergeCell ref="G19:G20"/>
    <mergeCell ref="A17:A18"/>
    <mergeCell ref="B17:B18"/>
    <mergeCell ref="C17:C18"/>
    <mergeCell ref="D17:D18"/>
    <mergeCell ref="E17:E18"/>
    <mergeCell ref="F17:F18"/>
    <mergeCell ref="G13:G14"/>
    <mergeCell ref="A15:A16"/>
    <mergeCell ref="B15:B16"/>
    <mergeCell ref="C15:C16"/>
    <mergeCell ref="D15:D16"/>
    <mergeCell ref="E15:E16"/>
    <mergeCell ref="F15:F16"/>
    <mergeCell ref="G15:G16"/>
    <mergeCell ref="A13:A14"/>
    <mergeCell ref="B13:B14"/>
    <mergeCell ref="C13:C14"/>
    <mergeCell ref="D13:D14"/>
    <mergeCell ref="E13:E14"/>
    <mergeCell ref="F13:F14"/>
    <mergeCell ref="G9:G10"/>
    <mergeCell ref="A11:A12"/>
    <mergeCell ref="B11:B12"/>
    <mergeCell ref="C11:C12"/>
    <mergeCell ref="D11:D12"/>
    <mergeCell ref="E11:E12"/>
    <mergeCell ref="F11:F12"/>
    <mergeCell ref="G11:G12"/>
    <mergeCell ref="A9:A10"/>
    <mergeCell ref="B9:B10"/>
    <mergeCell ref="C9:C10"/>
    <mergeCell ref="D9:D10"/>
    <mergeCell ref="E9:E10"/>
    <mergeCell ref="F9:F10"/>
    <mergeCell ref="B1:H1"/>
    <mergeCell ref="B3:B4"/>
    <mergeCell ref="C3:C4"/>
    <mergeCell ref="D3:D4"/>
    <mergeCell ref="E3:E4"/>
    <mergeCell ref="F3:F4"/>
    <mergeCell ref="G3:G4"/>
    <mergeCell ref="G5:G6"/>
    <mergeCell ref="A7:A8"/>
    <mergeCell ref="B7:B8"/>
    <mergeCell ref="C7:C8"/>
    <mergeCell ref="D7:D8"/>
    <mergeCell ref="E7:E8"/>
    <mergeCell ref="F7:F8"/>
    <mergeCell ref="G7:G8"/>
    <mergeCell ref="A5:A6"/>
    <mergeCell ref="B5:B6"/>
    <mergeCell ref="C5:C6"/>
    <mergeCell ref="D5:D6"/>
    <mergeCell ref="E5:E6"/>
    <mergeCell ref="F5:F6"/>
  </mergeCells>
  <phoneticPr fontId="2"/>
  <printOptions horizontalCentered="1"/>
  <pageMargins left="0.59055118110236227" right="0.31" top="0.98425196850393704" bottom="0.7" header="0.51181102362204722" footer="0.51181102362204722"/>
  <pageSetup paperSize="9"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F4DC5-7180-4CBE-9471-E7EC03C5AB12}">
  <dimension ref="A1:J14"/>
  <sheetViews>
    <sheetView showZeros="0" zoomScale="85" zoomScaleNormal="85" workbookViewId="0">
      <selection activeCell="C5" sqref="C5:C30"/>
    </sheetView>
  </sheetViews>
  <sheetFormatPr defaultRowHeight="13.5" x14ac:dyDescent="0.15"/>
  <cols>
    <col min="1" max="1" width="7.375" style="106" customWidth="1"/>
    <col min="2" max="2" width="18.125" style="106" customWidth="1"/>
    <col min="3" max="3" width="9.25" style="108" customWidth="1"/>
    <col min="4" max="4" width="8.5" style="108" customWidth="1"/>
    <col min="5" max="5" width="10" style="106" customWidth="1"/>
    <col min="6" max="6" width="15.125" style="106" customWidth="1"/>
    <col min="7" max="8" width="20.625" style="106" customWidth="1"/>
    <col min="9" max="9" width="12.75" style="106" customWidth="1"/>
    <col min="10" max="10" width="11" style="106" customWidth="1"/>
    <col min="11" max="16384" width="9" style="106"/>
  </cols>
  <sheetData>
    <row r="1" spans="1:10" ht="34.5" customHeight="1" x14ac:dyDescent="0.15">
      <c r="B1" s="147" t="s">
        <v>133</v>
      </c>
      <c r="C1" s="147"/>
      <c r="D1" s="147"/>
      <c r="E1" s="147"/>
      <c r="F1" s="147"/>
      <c r="G1" s="147"/>
      <c r="H1" s="147"/>
      <c r="I1" s="147"/>
      <c r="J1" s="147"/>
    </row>
    <row r="2" spans="1:10" ht="33" customHeight="1" x14ac:dyDescent="0.15">
      <c r="G2" s="109"/>
      <c r="H2" s="109"/>
      <c r="I2" s="109"/>
      <c r="J2" s="109"/>
    </row>
    <row r="3" spans="1:10" ht="34.5" customHeight="1" x14ac:dyDescent="0.15">
      <c r="B3" s="116" t="s">
        <v>38</v>
      </c>
      <c r="C3" s="117" t="s">
        <v>2</v>
      </c>
      <c r="D3" s="110" t="s">
        <v>3</v>
      </c>
      <c r="E3" s="110" t="s">
        <v>39</v>
      </c>
      <c r="F3" s="110" t="s">
        <v>134</v>
      </c>
      <c r="G3" s="118" t="s">
        <v>135</v>
      </c>
      <c r="H3" s="110" t="s">
        <v>40</v>
      </c>
      <c r="I3" s="110" t="s">
        <v>41</v>
      </c>
      <c r="J3" s="119" t="s">
        <v>136</v>
      </c>
    </row>
    <row r="4" spans="1:10" ht="36.75" customHeight="1" x14ac:dyDescent="0.15">
      <c r="A4" s="106">
        <v>1</v>
      </c>
      <c r="B4" s="120" t="e">
        <f>IF(ISBLANK($A4), "", VLOOKUP($A4, 入力シート!$A$7:$J$1000, 3, FALSE))</f>
        <v>#REF!</v>
      </c>
      <c r="C4" s="136" t="e">
        <f>IF(ISBLANK($A4), "", VLOOKUP($A4, 入力シート!$A$7:$J$1000, 4, FALSE))</f>
        <v>#REF!</v>
      </c>
      <c r="D4" s="113" t="e">
        <f>IF(ISBLANK($A4), "", VLOOKUP($A4, 入力シート!$A$7:$J$1000, 6, FALSE))</f>
        <v>#REF!</v>
      </c>
      <c r="E4" s="114" t="e">
        <f>IF(ISBLANK($A4), "", VLOOKUP($A4, 入力シート!$A$7:$J$1000, 7, FALSE))</f>
        <v>#REF!</v>
      </c>
      <c r="F4" s="115" t="e">
        <f>IF(ISBLANK($A4), "", VLOOKUP($A4, 入力シート!$A$7:$J$1000, 9, FALSE))</f>
        <v>#REF!</v>
      </c>
      <c r="G4" s="115" t="e">
        <f>IF(ISBLANK($A4), "", VLOOKUP($A4, 入力シート!$A$7:$J$1000, 8, FALSE))</f>
        <v>#REF!</v>
      </c>
      <c r="H4" s="122"/>
      <c r="I4" s="123"/>
      <c r="J4" s="124"/>
    </row>
    <row r="5" spans="1:10" ht="36.75" customHeight="1" x14ac:dyDescent="0.15">
      <c r="A5" s="106">
        <v>2</v>
      </c>
      <c r="B5" s="120" t="e">
        <f>IF(ISBLANK($A5), "", VLOOKUP($A5, 入力シート!$A$7:$J$1000, 3, FALSE))</f>
        <v>#REF!</v>
      </c>
      <c r="C5" s="136" t="e">
        <f>IF(ISBLANK($A5), "", VLOOKUP($A5, 入力シート!$A$7:$J$1000, 4, FALSE))</f>
        <v>#REF!</v>
      </c>
      <c r="D5" s="113" t="e">
        <f>IF(ISBLANK($A5), "", VLOOKUP($A5, 入力シート!$A$7:$J$1000, 6, FALSE))</f>
        <v>#REF!</v>
      </c>
      <c r="E5" s="114" t="e">
        <f>IF(ISBLANK($A5), "", VLOOKUP($A5, 入力シート!$A$7:$J$1000, 7, FALSE))</f>
        <v>#REF!</v>
      </c>
      <c r="F5" s="115" t="e">
        <f>IF(ISBLANK($A5), "", VLOOKUP($A5, 入力シート!$A$7:$J$1000, 9, FALSE))</f>
        <v>#REF!</v>
      </c>
      <c r="G5" s="115" t="e">
        <f>IF(ISBLANK($A5), "", VLOOKUP($A5, 入力シート!$A$7:$J$1000, 8, FALSE))</f>
        <v>#REF!</v>
      </c>
      <c r="H5" s="122"/>
      <c r="I5" s="123"/>
      <c r="J5" s="124"/>
    </row>
    <row r="6" spans="1:10" ht="36.75" customHeight="1" x14ac:dyDescent="0.15">
      <c r="A6" s="106">
        <v>3</v>
      </c>
      <c r="B6" s="120" t="e">
        <f>IF(ISBLANK($A6), "", VLOOKUP($A6, 入力シート!$A$7:$J$1000, 3, FALSE))</f>
        <v>#REF!</v>
      </c>
      <c r="C6" s="136" t="e">
        <f>IF(ISBLANK($A6), "", VLOOKUP($A6, 入力シート!$A$7:$J$1000, 4, FALSE))</f>
        <v>#REF!</v>
      </c>
      <c r="D6" s="113" t="e">
        <f>IF(ISBLANK($A6), "", VLOOKUP($A6, 入力シート!$A$7:$J$1000, 6, FALSE))</f>
        <v>#REF!</v>
      </c>
      <c r="E6" s="114" t="e">
        <f>IF(ISBLANK($A6), "", VLOOKUP($A6, 入力シート!$A$7:$J$1000, 7, FALSE))</f>
        <v>#REF!</v>
      </c>
      <c r="F6" s="115" t="e">
        <f>IF(ISBLANK($A6), "", VLOOKUP($A6, 入力シート!$A$7:$J$1000, 9, FALSE))</f>
        <v>#REF!</v>
      </c>
      <c r="G6" s="115" t="e">
        <f>IF(ISBLANK($A6), "", VLOOKUP($A6, 入力シート!$A$7:$J$1000, 8, FALSE))</f>
        <v>#REF!</v>
      </c>
      <c r="H6" s="122"/>
      <c r="I6" s="123"/>
      <c r="J6" s="124"/>
    </row>
    <row r="7" spans="1:10" ht="36.75" customHeight="1" x14ac:dyDescent="0.15">
      <c r="A7" s="106">
        <v>4</v>
      </c>
      <c r="B7" s="120" t="e">
        <f>IF(ISBLANK($A7), "", VLOOKUP($A7, 入力シート!$A$7:$J$1000, 3, FALSE))</f>
        <v>#REF!</v>
      </c>
      <c r="C7" s="136" t="e">
        <f>IF(ISBLANK($A7), "", VLOOKUP($A7, 入力シート!$A$7:$J$1000, 4, FALSE))</f>
        <v>#REF!</v>
      </c>
      <c r="D7" s="113" t="e">
        <f>IF(ISBLANK($A7), "", VLOOKUP($A7, 入力シート!$A$7:$J$1000, 6, FALSE))</f>
        <v>#REF!</v>
      </c>
      <c r="E7" s="114" t="e">
        <f>IF(ISBLANK($A7), "", VLOOKUP($A7, 入力シート!$A$7:$J$1000, 7, FALSE))</f>
        <v>#REF!</v>
      </c>
      <c r="F7" s="115" t="e">
        <f>IF(ISBLANK($A7), "", VLOOKUP($A7, 入力シート!$A$7:$J$1000, 9, FALSE))</f>
        <v>#REF!</v>
      </c>
      <c r="G7" s="115" t="e">
        <f>IF(ISBLANK($A7), "", VLOOKUP($A7, 入力シート!$A$7:$J$1000, 8, FALSE))</f>
        <v>#REF!</v>
      </c>
      <c r="H7" s="122"/>
      <c r="I7" s="123"/>
      <c r="J7" s="124"/>
    </row>
    <row r="8" spans="1:10" ht="36.75" customHeight="1" x14ac:dyDescent="0.15">
      <c r="A8" s="106">
        <v>5</v>
      </c>
      <c r="B8" s="120" t="e">
        <f>IF(ISBLANK($A8), "", VLOOKUP($A8, 入力シート!$A$7:$J$1000, 3, FALSE))</f>
        <v>#REF!</v>
      </c>
      <c r="C8" s="136" t="e">
        <f>IF(ISBLANK($A8), "", VLOOKUP($A8, 入力シート!$A$7:$J$1000, 4, FALSE))</f>
        <v>#REF!</v>
      </c>
      <c r="D8" s="113" t="e">
        <f>IF(ISBLANK($A8), "", VLOOKUP($A8, 入力シート!$A$7:$J$1000, 6, FALSE))</f>
        <v>#REF!</v>
      </c>
      <c r="E8" s="114" t="e">
        <f>IF(ISBLANK($A8), "", VLOOKUP($A8, 入力シート!$A$7:$J$1000, 7, FALSE))</f>
        <v>#REF!</v>
      </c>
      <c r="F8" s="115" t="e">
        <f>IF(ISBLANK($A8), "", VLOOKUP($A8, 入力シート!$A$7:$J$1000, 9, FALSE))</f>
        <v>#REF!</v>
      </c>
      <c r="G8" s="115" t="e">
        <f>IF(ISBLANK($A8), "", VLOOKUP($A8, 入力シート!$A$7:$J$1000, 8, FALSE))</f>
        <v>#REF!</v>
      </c>
      <c r="H8" s="122"/>
      <c r="I8" s="123"/>
      <c r="J8" s="124"/>
    </row>
    <row r="9" spans="1:10" ht="36.75" customHeight="1" x14ac:dyDescent="0.15">
      <c r="A9" s="106">
        <v>6</v>
      </c>
      <c r="B9" s="120" t="e">
        <f>IF(ISBLANK($A9), "", VLOOKUP($A9, 入力シート!$A$7:$J$1000, 3, FALSE))</f>
        <v>#REF!</v>
      </c>
      <c r="C9" s="136" t="e">
        <f>IF(ISBLANK($A9), "", VLOOKUP($A9, 入力シート!$A$7:$J$1000, 4, FALSE))</f>
        <v>#REF!</v>
      </c>
      <c r="D9" s="113" t="e">
        <f>IF(ISBLANK($A9), "", VLOOKUP($A9, 入力シート!$A$7:$J$1000, 6, FALSE))</f>
        <v>#REF!</v>
      </c>
      <c r="E9" s="114" t="e">
        <f>IF(ISBLANK($A9), "", VLOOKUP($A9, 入力シート!$A$7:$J$1000, 7, FALSE))</f>
        <v>#REF!</v>
      </c>
      <c r="F9" s="115" t="e">
        <f>IF(ISBLANK($A9), "", VLOOKUP($A9, 入力シート!$A$7:$J$1000, 9, FALSE))</f>
        <v>#REF!</v>
      </c>
      <c r="G9" s="115" t="e">
        <f>IF(ISBLANK($A9), "", VLOOKUP($A9, 入力シート!$A$7:$J$1000, 8, FALSE))</f>
        <v>#REF!</v>
      </c>
      <c r="H9" s="122"/>
      <c r="I9" s="123"/>
      <c r="J9" s="124"/>
    </row>
    <row r="10" spans="1:10" ht="36.75" customHeight="1" x14ac:dyDescent="0.15">
      <c r="A10" s="106">
        <v>7</v>
      </c>
      <c r="B10" s="120">
        <f>IF(ISBLANK($A10), "", VLOOKUP($A10, 入力シート!$A$7:$J$1000, 3, FALSE))</f>
        <v>0</v>
      </c>
      <c r="C10" s="121">
        <f>IF(ISBLANK($A10), "", VLOOKUP($A10, 入力シート!$A$7:$J$1000, 4, FALSE))</f>
        <v>0</v>
      </c>
      <c r="D10" s="113">
        <f>IF(ISBLANK($A10), "", VLOOKUP($A10, 入力シート!$A$7:$J$1000, 6, FALSE))</f>
        <v>0</v>
      </c>
      <c r="E10" s="114">
        <f>IF(ISBLANK($A10), "", VLOOKUP($A10, 入力シート!$A$7:$J$1000, 7, FALSE))</f>
        <v>0</v>
      </c>
      <c r="F10" s="115">
        <f>IF(ISBLANK($A10), "", VLOOKUP($A10, 入力シート!$A$7:$J$1000, 9, FALSE))</f>
        <v>0</v>
      </c>
      <c r="G10" s="115">
        <f>IF(ISBLANK($A10), "", VLOOKUP($A10, 入力シート!$A$7:$J$1000, 8, FALSE))</f>
        <v>0</v>
      </c>
      <c r="H10" s="122"/>
      <c r="I10" s="123"/>
      <c r="J10" s="124"/>
    </row>
    <row r="11" spans="1:10" ht="36.75" customHeight="1" x14ac:dyDescent="0.15">
      <c r="A11" s="106">
        <v>8</v>
      </c>
      <c r="B11" s="120">
        <f>IF(ISBLANK($A11), "", VLOOKUP($A11, 入力シート!$A$7:$J$1000, 3, FALSE))</f>
        <v>0</v>
      </c>
      <c r="C11" s="121">
        <f>IF(ISBLANK($A11), "", VLOOKUP($A11, 入力シート!$A$7:$J$1000, 4, FALSE))</f>
        <v>0</v>
      </c>
      <c r="D11" s="113">
        <f>IF(ISBLANK($A11), "", VLOOKUP($A11, 入力シート!$A$7:$J$1000, 6, FALSE))</f>
        <v>0</v>
      </c>
      <c r="E11" s="114">
        <f>IF(ISBLANK($A11), "", VLOOKUP($A11, 入力シート!$A$7:$J$1000, 7, FALSE))</f>
        <v>0</v>
      </c>
      <c r="F11" s="115">
        <f>IF(ISBLANK($A11), "", VLOOKUP($A11, 入力シート!$A$7:$J$1000, 9, FALSE))</f>
        <v>0</v>
      </c>
      <c r="G11" s="115">
        <f>IF(ISBLANK($A11), "", VLOOKUP($A11, 入力シート!$A$7:$J$1000, 8, FALSE))</f>
        <v>0</v>
      </c>
      <c r="H11" s="122"/>
      <c r="I11" s="123"/>
      <c r="J11" s="124"/>
    </row>
    <row r="12" spans="1:10" ht="36.75" customHeight="1" x14ac:dyDescent="0.15">
      <c r="A12" s="106">
        <v>9</v>
      </c>
      <c r="B12" s="120">
        <f>IF(ISBLANK($A12), "", VLOOKUP($A12, 入力シート!$A$7:$J$1000, 3, FALSE))</f>
        <v>0</v>
      </c>
      <c r="C12" s="121">
        <f>IF(ISBLANK($A12), "", VLOOKUP($A12, 入力シート!$A$7:$J$1000, 4, FALSE))</f>
        <v>0</v>
      </c>
      <c r="D12" s="113">
        <f>IF(ISBLANK($A12), "", VLOOKUP($A12, 入力シート!$A$7:$J$1000, 6, FALSE))</f>
        <v>0</v>
      </c>
      <c r="E12" s="114">
        <f>IF(ISBLANK($A12), "", VLOOKUP($A12, 入力シート!$A$7:$J$1000, 7, FALSE))</f>
        <v>0</v>
      </c>
      <c r="F12" s="115">
        <f>IF(ISBLANK($A12), "", VLOOKUP($A12, 入力シート!$A$7:$J$1000, 9, FALSE))</f>
        <v>0</v>
      </c>
      <c r="G12" s="115">
        <f>IF(ISBLANK($A12), "", VLOOKUP($A12, 入力シート!$A$7:$J$1000, 8, FALSE))</f>
        <v>0</v>
      </c>
      <c r="H12" s="122"/>
      <c r="I12" s="123"/>
      <c r="J12" s="124"/>
    </row>
    <row r="13" spans="1:10" ht="36.75" customHeight="1" x14ac:dyDescent="0.15">
      <c r="A13" s="106">
        <v>10</v>
      </c>
      <c r="B13" s="120">
        <f>IF(ISBLANK($A13), "", VLOOKUP($A13, 入力シート!$A$7:$J$1000, 3, FALSE))</f>
        <v>0</v>
      </c>
      <c r="C13" s="121">
        <f>IF(ISBLANK($A13), "", VLOOKUP($A13, 入力シート!$A$7:$J$1000, 4, FALSE))</f>
        <v>0</v>
      </c>
      <c r="D13" s="113">
        <f>IF(ISBLANK($A13), "", VLOOKUP($A13, 入力シート!$A$7:$J$1000, 6, FALSE))</f>
        <v>0</v>
      </c>
      <c r="E13" s="114">
        <f>IF(ISBLANK($A13), "", VLOOKUP($A13, 入力シート!$A$7:$J$1000, 7, FALSE))</f>
        <v>0</v>
      </c>
      <c r="F13" s="115">
        <f>IF(ISBLANK($A13), "", VLOOKUP($A13, 入力シート!$A$7:$J$1000, 9, FALSE))</f>
        <v>0</v>
      </c>
      <c r="G13" s="115">
        <f>IF(ISBLANK($A13), "", VLOOKUP($A13, 入力シート!$A$7:$J$1000, 8, FALSE))</f>
        <v>0</v>
      </c>
      <c r="H13" s="122"/>
      <c r="I13" s="123"/>
      <c r="J13" s="124"/>
    </row>
    <row r="14" spans="1:10" ht="36.75" customHeight="1" x14ac:dyDescent="0.15">
      <c r="A14" s="106">
        <v>11</v>
      </c>
      <c r="B14" s="120">
        <f>IF(ISBLANK($A14), "", VLOOKUP($A14, 入力シート!$A$7:$J$1000, 3, FALSE))</f>
        <v>0</v>
      </c>
      <c r="C14" s="121">
        <f>IF(ISBLANK($A14), "", VLOOKUP($A14, 入力シート!$A$7:$J$1000, 4, FALSE))</f>
        <v>0</v>
      </c>
      <c r="D14" s="113">
        <f>IF(ISBLANK($A14), "", VLOOKUP($A14, 入力シート!$A$7:$J$1000, 6, FALSE))</f>
        <v>0</v>
      </c>
      <c r="E14" s="114">
        <f>IF(ISBLANK($A14), "", VLOOKUP($A14, 入力シート!$A$7:$J$1000, 7, FALSE))</f>
        <v>0</v>
      </c>
      <c r="F14" s="115">
        <f>IF(ISBLANK($A14), "", VLOOKUP($A14, 入力シート!$A$7:$J$1000, 9, FALSE))</f>
        <v>0</v>
      </c>
      <c r="G14" s="115">
        <f>IF(ISBLANK($A14), "", VLOOKUP($A14, 入力シート!$A$7:$J$1000, 8, FALSE))</f>
        <v>0</v>
      </c>
      <c r="H14" s="122"/>
      <c r="I14" s="123"/>
      <c r="J14" s="124"/>
    </row>
  </sheetData>
  <mergeCells count="1">
    <mergeCell ref="B1:J1"/>
  </mergeCells>
  <phoneticPr fontId="2"/>
  <printOptions horizontalCentered="1"/>
  <pageMargins left="0.59055118110236227" right="0.43" top="0.98425196850393704" bottom="0.7" header="0.51181102362204722" footer="0.51181102362204722"/>
  <pageSetup paperSize="9" orientation="landscape" horizontalDpi="4294967292" verticalDpi="12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722F8-F128-4B30-94E7-079E9BF6B25B}">
  <dimension ref="A1:P33"/>
  <sheetViews>
    <sheetView showZeros="0" zoomScaleNormal="100" workbookViewId="0">
      <selection activeCell="L3" sqref="L3:L4"/>
    </sheetView>
  </sheetViews>
  <sheetFormatPr defaultRowHeight="13.5" x14ac:dyDescent="0.15"/>
  <cols>
    <col min="1" max="1" width="9" style="106"/>
    <col min="2" max="2" width="18.625" style="106" customWidth="1"/>
    <col min="3" max="3" width="8.625" style="108" customWidth="1"/>
    <col min="4" max="6" width="8.625" style="106" customWidth="1"/>
    <col min="7" max="8" width="21.125" style="106" customWidth="1"/>
    <col min="9" max="9" width="21.75" style="106" customWidth="1"/>
    <col min="10" max="10" width="10" style="108" customWidth="1"/>
    <col min="11" max="12" width="10" style="106" customWidth="1"/>
    <col min="13" max="13" width="27.5" style="106" customWidth="1"/>
    <col min="14" max="14" width="12.5" style="106" customWidth="1"/>
    <col min="15" max="15" width="28.75" style="106" customWidth="1"/>
    <col min="16" max="16" width="15.375" style="106" customWidth="1"/>
    <col min="17" max="16384" width="9" style="106"/>
  </cols>
  <sheetData>
    <row r="1" spans="1:16" ht="34.5" customHeight="1" x14ac:dyDescent="0.15">
      <c r="B1" s="147" t="s">
        <v>21</v>
      </c>
      <c r="C1" s="147"/>
      <c r="D1" s="147"/>
      <c r="E1" s="147"/>
      <c r="F1" s="147"/>
      <c r="G1" s="147"/>
      <c r="H1" s="147"/>
      <c r="I1" s="107"/>
      <c r="J1" s="107"/>
      <c r="K1" s="107"/>
      <c r="L1" s="107"/>
      <c r="M1" s="107"/>
      <c r="N1" s="107"/>
      <c r="O1" s="107"/>
      <c r="P1" s="107"/>
    </row>
    <row r="2" spans="1:16" ht="33" customHeight="1" x14ac:dyDescent="0.15">
      <c r="F2" s="161">
        <f ca="1">TODAY()</f>
        <v>45779</v>
      </c>
      <c r="G2" s="161"/>
      <c r="H2" s="161"/>
      <c r="M2" s="109"/>
      <c r="N2" s="109"/>
      <c r="O2" s="109"/>
      <c r="P2" s="109"/>
    </row>
    <row r="3" spans="1:16" ht="33" customHeight="1" x14ac:dyDescent="0.15">
      <c r="F3" s="162" t="s">
        <v>206</v>
      </c>
      <c r="G3" s="162"/>
      <c r="H3" s="162"/>
      <c r="L3" s="106" t="s">
        <v>204</v>
      </c>
      <c r="M3" s="109"/>
      <c r="N3" s="109"/>
      <c r="O3" s="109"/>
      <c r="P3" s="109"/>
    </row>
    <row r="4" spans="1:16" ht="27.75" customHeight="1" x14ac:dyDescent="0.15">
      <c r="B4" s="148" t="s">
        <v>18</v>
      </c>
      <c r="C4" s="148" t="s">
        <v>2</v>
      </c>
      <c r="D4" s="148" t="s">
        <v>3</v>
      </c>
      <c r="E4" s="149" t="s">
        <v>137</v>
      </c>
      <c r="F4" s="163" t="s">
        <v>126</v>
      </c>
      <c r="G4" s="164" t="s">
        <v>20</v>
      </c>
      <c r="H4" s="110" t="s">
        <v>138</v>
      </c>
      <c r="I4" s="111"/>
      <c r="J4" s="111"/>
      <c r="K4" s="111"/>
      <c r="L4" s="106" t="s">
        <v>205</v>
      </c>
      <c r="M4" s="111"/>
      <c r="N4" s="111"/>
      <c r="O4" s="111"/>
      <c r="P4" s="111"/>
    </row>
    <row r="5" spans="1:16" ht="27.75" customHeight="1" x14ac:dyDescent="0.15">
      <c r="B5" s="148"/>
      <c r="C5" s="148"/>
      <c r="D5" s="148"/>
      <c r="E5" s="148"/>
      <c r="F5" s="163"/>
      <c r="G5" s="164"/>
      <c r="H5" s="110" t="s">
        <v>139</v>
      </c>
      <c r="O5" s="112"/>
      <c r="P5" s="108"/>
    </row>
    <row r="6" spans="1:16" ht="29.25" customHeight="1" x14ac:dyDescent="0.15">
      <c r="A6" s="152">
        <v>1</v>
      </c>
      <c r="B6" s="153" t="e">
        <f>IF(ISBLANK($A6), "", VLOOKUP($A6, 入力シート!$A$7:$J$1000, 3, FALSE))</f>
        <v>#REF!</v>
      </c>
      <c r="C6" s="160" t="e">
        <f>IF(ISBLANK($A6), "", VLOOKUP($A6, 入力シート!$A$7:$J$1000, 4, FALSE))</f>
        <v>#REF!</v>
      </c>
      <c r="D6" s="155" t="e">
        <f>IF(ISBLANK($A6), "", VLOOKUP($A6, 入力シート!$A$7:$J$1000, 6, FALSE))</f>
        <v>#REF!</v>
      </c>
      <c r="E6" s="155" t="e">
        <f>IF(ISBLANK($A6), "", VLOOKUP($A6, 入力シート!$A$7:$J$1000, 7, FALSE))</f>
        <v>#REF!</v>
      </c>
      <c r="F6" s="167" t="e">
        <f>IF(ISBLANK($A6), "", VLOOKUP($A6, 入力シート!$A$7:$J$1000, 10, FALSE))</f>
        <v>#REF!</v>
      </c>
      <c r="G6" s="165" t="e">
        <f>IF(ISBLANK($A6), "", VLOOKUP($A6, 入力シート!$A$7:$J$1000, 9, FALSE))</f>
        <v>#REF!</v>
      </c>
      <c r="H6" s="113" t="e">
        <f>IF(ISBLANK($A6), "", VLOOKUP($A6, 入力シート!$A$7:$J$1000, 8, FALSE))</f>
        <v>#REF!</v>
      </c>
    </row>
    <row r="7" spans="1:16" ht="29.25" customHeight="1" x14ac:dyDescent="0.15">
      <c r="A7" s="152"/>
      <c r="B7" s="153"/>
      <c r="C7" s="160"/>
      <c r="D7" s="155"/>
      <c r="E7" s="155"/>
      <c r="F7" s="167"/>
      <c r="G7" s="166"/>
      <c r="H7" s="115"/>
      <c r="O7" s="112"/>
      <c r="P7" s="108"/>
    </row>
    <row r="8" spans="1:16" ht="29.25" customHeight="1" x14ac:dyDescent="0.15">
      <c r="A8" s="152">
        <v>2</v>
      </c>
      <c r="B8" s="153" t="e">
        <f>IF(ISBLANK($A8), "", VLOOKUP($A8, 入力シート!$A$7:$J$1000, 3, FALSE))</f>
        <v>#REF!</v>
      </c>
      <c r="C8" s="160" t="e">
        <f>IF(ISBLANK($A8), "", VLOOKUP($A8, 入力シート!$A$7:$J$1000, 4, FALSE))</f>
        <v>#REF!</v>
      </c>
      <c r="D8" s="155" t="e">
        <f>IF(ISBLANK($A8), "", VLOOKUP($A8, 入力シート!$A$7:$J$1000, 6, FALSE))</f>
        <v>#REF!</v>
      </c>
      <c r="E8" s="155" t="e">
        <f>IF(ISBLANK($A8), "", VLOOKUP($A8, 入力シート!$A$7:$J$1000, 7, FALSE))</f>
        <v>#REF!</v>
      </c>
      <c r="F8" s="167" t="e">
        <f>IF(ISBLANK($A8), "", VLOOKUP($A8, 入力シート!$A$7:$J$1000, 10, FALSE))</f>
        <v>#REF!</v>
      </c>
      <c r="G8" s="165" t="e">
        <f>IF(ISBLANK($A8), "", VLOOKUP($A8, 入力シート!$A$7:$J$1000, 9, FALSE))</f>
        <v>#REF!</v>
      </c>
      <c r="H8" s="113" t="e">
        <f>IF(ISBLANK($A8), "", VLOOKUP($A8, 入力シート!$A$7:$J$1000, 8, FALSE))</f>
        <v>#REF!</v>
      </c>
    </row>
    <row r="9" spans="1:16" ht="29.25" customHeight="1" x14ac:dyDescent="0.15">
      <c r="A9" s="152"/>
      <c r="B9" s="153"/>
      <c r="C9" s="160"/>
      <c r="D9" s="155"/>
      <c r="E9" s="155"/>
      <c r="F9" s="167"/>
      <c r="G9" s="166"/>
      <c r="H9" s="115"/>
      <c r="O9" s="112"/>
      <c r="P9" s="108"/>
    </row>
    <row r="10" spans="1:16" ht="29.25" customHeight="1" x14ac:dyDescent="0.15">
      <c r="A10" s="152">
        <v>3</v>
      </c>
      <c r="B10" s="153" t="e">
        <f>IF(ISBLANK($A10), "", VLOOKUP($A10, 入力シート!$A$7:$J$1000, 3, FALSE))</f>
        <v>#REF!</v>
      </c>
      <c r="C10" s="160" t="e">
        <f>IF(ISBLANK($A10), "", VLOOKUP($A10, 入力シート!$A$7:$J$1000, 4, FALSE))</f>
        <v>#REF!</v>
      </c>
      <c r="D10" s="155" t="e">
        <f>IF(ISBLANK($A10), "", VLOOKUP($A10, 入力シート!$A$7:$J$1000, 6, FALSE))</f>
        <v>#REF!</v>
      </c>
      <c r="E10" s="155" t="e">
        <f>IF(ISBLANK($A10), "", VLOOKUP($A10, 入力シート!$A$7:$J$1000, 7, FALSE))</f>
        <v>#REF!</v>
      </c>
      <c r="F10" s="167" t="e">
        <f>IF(ISBLANK($A10), "", VLOOKUP($A10, 入力シート!$A$7:$J$1000, 10, FALSE))</f>
        <v>#REF!</v>
      </c>
      <c r="G10" s="165" t="e">
        <f>IF(ISBLANK($A10), "", VLOOKUP($A10, 入力シート!$A$7:$J$1000, 9, FALSE))</f>
        <v>#REF!</v>
      </c>
      <c r="H10" s="113" t="e">
        <f>IF(ISBLANK($A10), "", VLOOKUP($A10, 入力シート!$A$7:$J$1000, 8, FALSE))</f>
        <v>#REF!</v>
      </c>
    </row>
    <row r="11" spans="1:16" ht="29.25" customHeight="1" x14ac:dyDescent="0.15">
      <c r="A11" s="152"/>
      <c r="B11" s="153"/>
      <c r="C11" s="160"/>
      <c r="D11" s="155"/>
      <c r="E11" s="155"/>
      <c r="F11" s="167"/>
      <c r="G11" s="166"/>
      <c r="H11" s="115"/>
      <c r="O11" s="112"/>
      <c r="P11" s="108"/>
    </row>
    <row r="12" spans="1:16" ht="29.25" customHeight="1" x14ac:dyDescent="0.15">
      <c r="A12" s="152">
        <v>4</v>
      </c>
      <c r="B12" s="153" t="e">
        <f>IF(ISBLANK($A12), "", VLOOKUP($A12, 入力シート!$A$7:$J$1000, 3, FALSE))</f>
        <v>#REF!</v>
      </c>
      <c r="C12" s="160" t="e">
        <f>IF(ISBLANK($A12), "", VLOOKUP($A12, 入力シート!$A$7:$J$1000, 4, FALSE))</f>
        <v>#REF!</v>
      </c>
      <c r="D12" s="155" t="e">
        <f>IF(ISBLANK($A12), "", VLOOKUP($A12, 入力シート!$A$7:$J$1000, 6, FALSE))</f>
        <v>#REF!</v>
      </c>
      <c r="E12" s="155" t="e">
        <f>IF(ISBLANK($A12), "", VLOOKUP($A12, 入力シート!$A$7:$J$1000, 7, FALSE))</f>
        <v>#REF!</v>
      </c>
      <c r="F12" s="167" t="e">
        <f>IF(ISBLANK($A12), "", VLOOKUP($A12, 入力シート!$A$7:$J$1000, 10, FALSE))</f>
        <v>#REF!</v>
      </c>
      <c r="G12" s="165" t="e">
        <f>IF(ISBLANK($A12), "", VLOOKUP($A12, 入力シート!$A$7:$J$1000, 9, FALSE))</f>
        <v>#REF!</v>
      </c>
      <c r="H12" s="113" t="e">
        <f>IF(ISBLANK($A12), "", VLOOKUP($A12, 入力シート!$A$7:$J$1000, 8, FALSE))</f>
        <v>#REF!</v>
      </c>
    </row>
    <row r="13" spans="1:16" ht="29.25" customHeight="1" x14ac:dyDescent="0.15">
      <c r="A13" s="152"/>
      <c r="B13" s="153"/>
      <c r="C13" s="160"/>
      <c r="D13" s="155"/>
      <c r="E13" s="155"/>
      <c r="F13" s="167"/>
      <c r="G13" s="166"/>
      <c r="H13" s="115"/>
      <c r="O13" s="112"/>
      <c r="P13" s="108"/>
    </row>
    <row r="14" spans="1:16" ht="29.25" customHeight="1" x14ac:dyDescent="0.15">
      <c r="A14" s="152">
        <v>5</v>
      </c>
      <c r="B14" s="153" t="e">
        <f>IF(ISBLANK($A14), "", VLOOKUP($A14, 入力シート!$A$7:$J$1000, 3, FALSE))</f>
        <v>#REF!</v>
      </c>
      <c r="C14" s="160" t="e">
        <f>IF(ISBLANK($A14), "", VLOOKUP($A14, 入力シート!$A$7:$J$1000, 4, FALSE))</f>
        <v>#REF!</v>
      </c>
      <c r="D14" s="155" t="e">
        <f>IF(ISBLANK($A14), "", VLOOKUP($A14, 入力シート!$A$7:$J$1000, 6, FALSE))</f>
        <v>#REF!</v>
      </c>
      <c r="E14" s="155" t="e">
        <f>IF(ISBLANK($A14), "", VLOOKUP($A14, 入力シート!$A$7:$J$1000, 7, FALSE))</f>
        <v>#REF!</v>
      </c>
      <c r="F14" s="167" t="e">
        <f>IF(ISBLANK($A14), "", VLOOKUP($A14, 入力シート!$A$7:$J$1000, 10, FALSE))</f>
        <v>#REF!</v>
      </c>
      <c r="G14" s="165" t="e">
        <f>IF(ISBLANK($A14), "", VLOOKUP($A14, 入力シート!$A$7:$J$1000, 9, FALSE))</f>
        <v>#REF!</v>
      </c>
      <c r="H14" s="113" t="e">
        <f>IF(ISBLANK($A14), "", VLOOKUP($A14, 入力シート!$A$7:$J$1000, 8, FALSE))</f>
        <v>#REF!</v>
      </c>
    </row>
    <row r="15" spans="1:16" ht="29.25" customHeight="1" x14ac:dyDescent="0.15">
      <c r="A15" s="152"/>
      <c r="B15" s="153"/>
      <c r="C15" s="160"/>
      <c r="D15" s="155"/>
      <c r="E15" s="155"/>
      <c r="F15" s="167"/>
      <c r="G15" s="166"/>
      <c r="H15" s="115"/>
      <c r="O15" s="112"/>
      <c r="P15" s="108"/>
    </row>
    <row r="16" spans="1:16" ht="29.25" customHeight="1" x14ac:dyDescent="0.15">
      <c r="A16" s="152">
        <v>6</v>
      </c>
      <c r="B16" s="153" t="e">
        <f>IF(ISBLANK($A16), "", VLOOKUP($A16, 入力シート!$A$7:$J$1000, 3, FALSE))</f>
        <v>#REF!</v>
      </c>
      <c r="C16" s="160" t="e">
        <f>IF(ISBLANK($A16), "", VLOOKUP($A16, 入力シート!$A$7:$J$1000, 4, FALSE))</f>
        <v>#REF!</v>
      </c>
      <c r="D16" s="155" t="e">
        <f>IF(ISBLANK($A16), "", VLOOKUP($A16, 入力シート!$A$7:$J$1000, 6, FALSE))</f>
        <v>#REF!</v>
      </c>
      <c r="E16" s="155" t="e">
        <f>IF(ISBLANK($A16), "", VLOOKUP($A16, 入力シート!$A$7:$J$1000, 7, FALSE))</f>
        <v>#REF!</v>
      </c>
      <c r="F16" s="167" t="e">
        <f>IF(ISBLANK($A16), "", VLOOKUP($A16, 入力シート!$A$7:$J$1000, 10, FALSE))</f>
        <v>#REF!</v>
      </c>
      <c r="G16" s="165" t="e">
        <f>IF(ISBLANK($A16), "", VLOOKUP($A16, 入力シート!$A$7:$J$1000, 9, FALSE))</f>
        <v>#REF!</v>
      </c>
      <c r="H16" s="113" t="e">
        <f>IF(ISBLANK($A16), "", VLOOKUP($A16, 入力シート!$A$7:$J$1000, 8, FALSE))</f>
        <v>#REF!</v>
      </c>
    </row>
    <row r="17" spans="1:16" ht="29.25" customHeight="1" x14ac:dyDescent="0.15">
      <c r="A17" s="152"/>
      <c r="B17" s="153"/>
      <c r="C17" s="160"/>
      <c r="D17" s="155"/>
      <c r="E17" s="155"/>
      <c r="F17" s="167"/>
      <c r="G17" s="166"/>
      <c r="H17" s="115"/>
      <c r="O17" s="112"/>
      <c r="P17" s="108"/>
    </row>
    <row r="18" spans="1:16" ht="29.25" customHeight="1" x14ac:dyDescent="0.15">
      <c r="A18" s="152">
        <v>7</v>
      </c>
      <c r="B18" s="153">
        <f>IF(ISBLANK($A18), "", VLOOKUP($A18, 入力シート!$A$7:$J$1000, 3, FALSE))</f>
        <v>0</v>
      </c>
      <c r="C18" s="160">
        <f>IF(ISBLANK($A18), "", VLOOKUP($A18, 入力シート!$A$7:$J$1000, 4, FALSE))</f>
        <v>0</v>
      </c>
      <c r="D18" s="155">
        <f>IF(ISBLANK($A18), "", VLOOKUP($A18, 入力シート!$A$7:$J$1000, 6, FALSE))</f>
        <v>0</v>
      </c>
      <c r="E18" s="155">
        <f>IF(ISBLANK($A18), "", VLOOKUP($A18, 入力シート!$A$7:$J$1000, 7, FALSE))</f>
        <v>0</v>
      </c>
      <c r="F18" s="167">
        <f>IF(ISBLANK($A18), "", VLOOKUP($A18, 入力シート!$A$7:$J$1000, 10, FALSE))</f>
        <v>0</v>
      </c>
      <c r="G18" s="165">
        <f>IF(ISBLANK($A18), "", VLOOKUP($A18, 入力シート!$A$7:$J$1000, 9, FALSE))</f>
        <v>0</v>
      </c>
      <c r="H18" s="113">
        <f>IF(ISBLANK($A18), "", VLOOKUP($A18, 入力シート!$A$7:$J$1000, 8, FALSE))</f>
        <v>0</v>
      </c>
    </row>
    <row r="19" spans="1:16" ht="29.25" customHeight="1" x14ac:dyDescent="0.15">
      <c r="A19" s="152"/>
      <c r="B19" s="153"/>
      <c r="C19" s="160"/>
      <c r="D19" s="155"/>
      <c r="E19" s="155"/>
      <c r="F19" s="167"/>
      <c r="G19" s="166"/>
      <c r="H19" s="115"/>
      <c r="O19" s="112"/>
      <c r="P19" s="108"/>
    </row>
    <row r="20" spans="1:16" ht="29.25" customHeight="1" x14ac:dyDescent="0.15">
      <c r="A20" s="152">
        <v>8</v>
      </c>
      <c r="B20" s="153">
        <f>IF(ISBLANK($A20), "", VLOOKUP($A20, 入力シート!$A$7:$J$1000, 3, FALSE))</f>
        <v>0</v>
      </c>
      <c r="C20" s="160">
        <f>IF(ISBLANK($A20), "", VLOOKUP($A20, 入力シート!$A$7:$J$1000, 4, FALSE))</f>
        <v>0</v>
      </c>
      <c r="D20" s="155">
        <f>IF(ISBLANK($A20), "", VLOOKUP($A20, 入力シート!$A$7:$J$1000, 6, FALSE))</f>
        <v>0</v>
      </c>
      <c r="E20" s="155">
        <f>IF(ISBLANK($A20), "", VLOOKUP($A20, 入力シート!$A$7:$J$1000, 7, FALSE))</f>
        <v>0</v>
      </c>
      <c r="F20" s="167">
        <f>IF(ISBLANK($A20), "", VLOOKUP($A20, 入力シート!$A$7:$J$1000, 10, FALSE))</f>
        <v>0</v>
      </c>
      <c r="G20" s="165">
        <f>IF(ISBLANK($A20), "", VLOOKUP($A20, 入力シート!$A$7:$J$1000, 9, FALSE))</f>
        <v>0</v>
      </c>
      <c r="H20" s="113">
        <f>IF(ISBLANK($A20), "", VLOOKUP($A20, 入力シート!$A$7:$J$1000, 8, FALSE))</f>
        <v>0</v>
      </c>
    </row>
    <row r="21" spans="1:16" ht="29.25" customHeight="1" x14ac:dyDescent="0.15">
      <c r="A21" s="152"/>
      <c r="B21" s="153"/>
      <c r="C21" s="160"/>
      <c r="D21" s="155"/>
      <c r="E21" s="155"/>
      <c r="F21" s="167"/>
      <c r="G21" s="166"/>
      <c r="H21" s="115"/>
      <c r="O21" s="112"/>
      <c r="P21" s="108"/>
    </row>
    <row r="22" spans="1:16" ht="29.25" customHeight="1" x14ac:dyDescent="0.15">
      <c r="A22" s="152">
        <v>9</v>
      </c>
      <c r="B22" s="153">
        <f>IF(ISBLANK($A22), "", VLOOKUP($A22, 入力シート!$A$7:$J$1000, 3, FALSE))</f>
        <v>0</v>
      </c>
      <c r="C22" s="160">
        <f>IF(ISBLANK($A22), "", VLOOKUP($A22, 入力シート!$A$7:$J$1000, 4, FALSE))</f>
        <v>0</v>
      </c>
      <c r="D22" s="155">
        <f>IF(ISBLANK($A22), "", VLOOKUP($A22, 入力シート!$A$7:$J$1000, 6, FALSE))</f>
        <v>0</v>
      </c>
      <c r="E22" s="155">
        <f>IF(ISBLANK($A22), "", VLOOKUP($A22, 入力シート!$A$7:$J$1000, 7, FALSE))</f>
        <v>0</v>
      </c>
      <c r="F22" s="167">
        <f>IF(ISBLANK($A22), "", VLOOKUP($A22, 入力シート!$A$7:$J$1000, 10, FALSE))</f>
        <v>0</v>
      </c>
      <c r="G22" s="165">
        <f>IF(ISBLANK($A22), "", VLOOKUP($A22, 入力シート!$A$7:$J$1000, 9, FALSE))</f>
        <v>0</v>
      </c>
      <c r="H22" s="113">
        <f>IF(ISBLANK($A22), "", VLOOKUP($A22, 入力シート!$A$7:$J$1000, 8, FALSE))</f>
        <v>0</v>
      </c>
    </row>
    <row r="23" spans="1:16" ht="29.25" customHeight="1" x14ac:dyDescent="0.15">
      <c r="A23" s="152"/>
      <c r="B23" s="153"/>
      <c r="C23" s="160"/>
      <c r="D23" s="155"/>
      <c r="E23" s="155"/>
      <c r="F23" s="167"/>
      <c r="G23" s="166"/>
      <c r="H23" s="115"/>
      <c r="O23" s="112"/>
      <c r="P23" s="108"/>
    </row>
    <row r="24" spans="1:16" ht="29.25" customHeight="1" x14ac:dyDescent="0.15">
      <c r="A24" s="152">
        <v>10</v>
      </c>
      <c r="B24" s="153">
        <f>IF(ISBLANK($A24), "", VLOOKUP($A24, 入力シート!$A$7:$J$1000, 3, FALSE))</f>
        <v>0</v>
      </c>
      <c r="C24" s="160">
        <f>IF(ISBLANK($A24), "", VLOOKUP($A24, 入力シート!$A$7:$J$1000, 4, FALSE))</f>
        <v>0</v>
      </c>
      <c r="D24" s="155">
        <f>IF(ISBLANK($A24), "", VLOOKUP($A24, 入力シート!$A$7:$J$1000, 6, FALSE))</f>
        <v>0</v>
      </c>
      <c r="E24" s="155">
        <f>IF(ISBLANK($A24), "", VLOOKUP($A24, 入力シート!$A$7:$J$1000, 7, FALSE))</f>
        <v>0</v>
      </c>
      <c r="F24" s="167">
        <f>IF(ISBLANK($A24), "", VLOOKUP($A24, 入力シート!$A$7:$J$1000, 10, FALSE))</f>
        <v>0</v>
      </c>
      <c r="G24" s="165">
        <f>IF(ISBLANK($A24), "", VLOOKUP($A24, 入力シート!$A$7:$J$1000, 9, FALSE))</f>
        <v>0</v>
      </c>
      <c r="H24" s="113">
        <f>IF(ISBLANK($A24), "", VLOOKUP($A24, 入力シート!$A$7:$J$1000, 8, FALSE))</f>
        <v>0</v>
      </c>
    </row>
    <row r="25" spans="1:16" ht="29.25" customHeight="1" x14ac:dyDescent="0.15">
      <c r="A25" s="152"/>
      <c r="B25" s="153"/>
      <c r="C25" s="160"/>
      <c r="D25" s="155"/>
      <c r="E25" s="155"/>
      <c r="F25" s="167"/>
      <c r="G25" s="166"/>
      <c r="H25" s="115"/>
      <c r="O25" s="112"/>
      <c r="P25" s="108"/>
    </row>
    <row r="26" spans="1:16" ht="29.25" customHeight="1" x14ac:dyDescent="0.15">
      <c r="A26" s="152">
        <v>11</v>
      </c>
      <c r="B26" s="153">
        <f>IF(ISBLANK($A26), "", VLOOKUP($A26, 入力シート!$A$7:$J$1000, 3, FALSE))</f>
        <v>0</v>
      </c>
      <c r="C26" s="160">
        <f>IF(ISBLANK($A26), "", VLOOKUP($A26, 入力シート!$A$7:$J$1000, 4, FALSE))</f>
        <v>0</v>
      </c>
      <c r="D26" s="155">
        <f>IF(ISBLANK($A26), "", VLOOKUP($A26, 入力シート!$A$7:$J$1000, 6, FALSE))</f>
        <v>0</v>
      </c>
      <c r="E26" s="155">
        <f>IF(ISBLANK($A26), "", VLOOKUP($A26, 入力シート!$A$7:$J$1000, 7, FALSE))</f>
        <v>0</v>
      </c>
      <c r="F26" s="167">
        <f>IF(ISBLANK($A26), "", VLOOKUP($A26, 入力シート!$A$7:$J$1000, 10, FALSE))</f>
        <v>0</v>
      </c>
      <c r="G26" s="165">
        <f>IF(ISBLANK($A26), "", VLOOKUP($A26, 入力シート!$A$7:$J$1000, 9, FALSE))</f>
        <v>0</v>
      </c>
      <c r="H26" s="113">
        <f>IF(ISBLANK($A26), "", VLOOKUP($A26, 入力シート!$A$7:$J$1000, 8, FALSE))</f>
        <v>0</v>
      </c>
    </row>
    <row r="27" spans="1:16" ht="29.25" customHeight="1" x14ac:dyDescent="0.15">
      <c r="A27" s="152"/>
      <c r="B27" s="153"/>
      <c r="C27" s="160"/>
      <c r="D27" s="155"/>
      <c r="E27" s="155"/>
      <c r="F27" s="167"/>
      <c r="G27" s="166"/>
      <c r="H27" s="115"/>
    </row>
    <row r="28" spans="1:16" ht="29.25" customHeight="1" x14ac:dyDescent="0.15">
      <c r="A28" s="152">
        <v>12</v>
      </c>
      <c r="B28" s="153">
        <f>IF(ISBLANK($A28), "", VLOOKUP($A28, 入力シート!$A$7:$J$1000, 3, FALSE))</f>
        <v>0</v>
      </c>
      <c r="C28" s="160">
        <f>IF(ISBLANK($A28), "", VLOOKUP($A28, 入力シート!$A$7:$J$1000, 4, FALSE))</f>
        <v>0</v>
      </c>
      <c r="D28" s="155">
        <f>IF(ISBLANK($A28), "", VLOOKUP($A28, 入力シート!$A$7:$J$1000, 6, FALSE))</f>
        <v>0</v>
      </c>
      <c r="E28" s="155">
        <f>IF(ISBLANK($A28), "", VLOOKUP($A28, 入力シート!$A$7:$J$1000, 7, FALSE))</f>
        <v>0</v>
      </c>
      <c r="F28" s="167">
        <f>IF(ISBLANK($A28), "", VLOOKUP($A28, 入力シート!$A$7:$J$1000, 10, FALSE))</f>
        <v>0</v>
      </c>
      <c r="G28" s="165">
        <f>IF(ISBLANK($A28), "", VLOOKUP($A28, 入力シート!$A$7:$J$1000, 9, FALSE))</f>
        <v>0</v>
      </c>
      <c r="H28" s="113">
        <f>IF(ISBLANK($A28), "", VLOOKUP($A28, 入力シート!$A$7:$J$1000, 8, FALSE))</f>
        <v>0</v>
      </c>
    </row>
    <row r="29" spans="1:16" ht="29.25" customHeight="1" x14ac:dyDescent="0.15">
      <c r="A29" s="152"/>
      <c r="B29" s="153"/>
      <c r="C29" s="160"/>
      <c r="D29" s="155"/>
      <c r="E29" s="155"/>
      <c r="F29" s="167"/>
      <c r="G29" s="166"/>
      <c r="H29" s="115"/>
    </row>
    <row r="30" spans="1:16" ht="29.25" customHeight="1" x14ac:dyDescent="0.15">
      <c r="A30" s="152">
        <v>13</v>
      </c>
      <c r="B30" s="153">
        <f>IF(ISBLANK($A30), "", VLOOKUP($A30, 入力シート!$A$7:$J$1000, 3, FALSE))</f>
        <v>0</v>
      </c>
      <c r="C30" s="160">
        <f>IF(ISBLANK($A30), "", VLOOKUP($A30, 入力シート!$A$7:$J$1000, 4, FALSE))</f>
        <v>0</v>
      </c>
      <c r="D30" s="155">
        <f>IF(ISBLANK($A30), "", VLOOKUP($A30, 入力シート!$A$7:$J$1000, 6, FALSE))</f>
        <v>0</v>
      </c>
      <c r="E30" s="155">
        <f>IF(ISBLANK($A30), "", VLOOKUP($A30, 入力シート!$A$7:$J$1000, 7, FALSE))</f>
        <v>0</v>
      </c>
      <c r="F30" s="167">
        <f>IF(ISBLANK($A30), "", VLOOKUP($A30, 入力シート!$A$7:$J$1000, 10, FALSE))</f>
        <v>0</v>
      </c>
      <c r="G30" s="165">
        <f>IF(ISBLANK($A30), "", VLOOKUP($A30, 入力シート!$A$7:$J$1000, 9, FALSE))</f>
        <v>0</v>
      </c>
      <c r="H30" s="113">
        <f>IF(ISBLANK($A30), "", VLOOKUP($A30, 入力シート!$A$7:$J$1000, 8, FALSE))</f>
        <v>0</v>
      </c>
    </row>
    <row r="31" spans="1:16" ht="29.25" customHeight="1" x14ac:dyDescent="0.15">
      <c r="A31" s="152"/>
      <c r="B31" s="153"/>
      <c r="C31" s="160"/>
      <c r="D31" s="155"/>
      <c r="E31" s="155"/>
      <c r="F31" s="167"/>
      <c r="G31" s="166"/>
      <c r="H31" s="115"/>
    </row>
    <row r="32" spans="1:16" ht="29.25" customHeight="1" x14ac:dyDescent="0.15">
      <c r="A32" s="152">
        <v>14</v>
      </c>
      <c r="B32" s="153">
        <f>IF(ISBLANK($A32), "", VLOOKUP($A32, 入力シート!$A$7:$J$1000, 3, FALSE))</f>
        <v>0</v>
      </c>
      <c r="C32" s="160">
        <f>IF(ISBLANK($A32), "", VLOOKUP($A32, 入力シート!$A$7:$J$1000, 4, FALSE))</f>
        <v>0</v>
      </c>
      <c r="D32" s="155">
        <f>IF(ISBLANK($A32), "", VLOOKUP($A32, 入力シート!$A$7:$J$1000, 6, FALSE))</f>
        <v>0</v>
      </c>
      <c r="E32" s="155">
        <f>IF(ISBLANK($A32), "", VLOOKUP($A32, 入力シート!$A$7:$J$1000, 7, FALSE))</f>
        <v>0</v>
      </c>
      <c r="F32" s="167">
        <f>IF(ISBLANK($A32), "", VLOOKUP($A32, 入力シート!$A$7:$J$1000, 10, FALSE))</f>
        <v>0</v>
      </c>
      <c r="G32" s="165">
        <f>IF(ISBLANK($A32), "", VLOOKUP($A32, 入力シート!$A$7:$J$1000, 9, FALSE))</f>
        <v>0</v>
      </c>
      <c r="H32" s="113">
        <f>IF(ISBLANK($A32), "", VLOOKUP($A32, 入力シート!$A$7:$J$1000, 8, FALSE))</f>
        <v>0</v>
      </c>
    </row>
    <row r="33" spans="1:8" ht="29.25" customHeight="1" x14ac:dyDescent="0.15">
      <c r="A33" s="152"/>
      <c r="B33" s="153"/>
      <c r="C33" s="160"/>
      <c r="D33" s="155"/>
      <c r="E33" s="155"/>
      <c r="F33" s="167"/>
      <c r="G33" s="166"/>
      <c r="H33" s="115"/>
    </row>
  </sheetData>
  <mergeCells count="107">
    <mergeCell ref="G30:G31"/>
    <mergeCell ref="A32:A33"/>
    <mergeCell ref="B32:B33"/>
    <mergeCell ref="C32:C33"/>
    <mergeCell ref="D32:D33"/>
    <mergeCell ref="E32:E33"/>
    <mergeCell ref="F32:F33"/>
    <mergeCell ref="G32:G33"/>
    <mergeCell ref="A30:A31"/>
    <mergeCell ref="B30:B31"/>
    <mergeCell ref="C30:C31"/>
    <mergeCell ref="D30:D31"/>
    <mergeCell ref="E30:E31"/>
    <mergeCell ref="F30:F31"/>
    <mergeCell ref="G26:G27"/>
    <mergeCell ref="A28:A29"/>
    <mergeCell ref="B28:B29"/>
    <mergeCell ref="C28:C29"/>
    <mergeCell ref="D28:D29"/>
    <mergeCell ref="E28:E29"/>
    <mergeCell ref="F28:F29"/>
    <mergeCell ref="G28:G29"/>
    <mergeCell ref="A26:A27"/>
    <mergeCell ref="B26:B27"/>
    <mergeCell ref="C26:C27"/>
    <mergeCell ref="D26:D27"/>
    <mergeCell ref="E26:E27"/>
    <mergeCell ref="F26:F27"/>
    <mergeCell ref="G22:G23"/>
    <mergeCell ref="A24:A25"/>
    <mergeCell ref="B24:B25"/>
    <mergeCell ref="C24:C25"/>
    <mergeCell ref="D24:D25"/>
    <mergeCell ref="E24:E25"/>
    <mergeCell ref="F24:F25"/>
    <mergeCell ref="G24:G25"/>
    <mergeCell ref="A22:A23"/>
    <mergeCell ref="B22:B23"/>
    <mergeCell ref="C22:C23"/>
    <mergeCell ref="D22:D23"/>
    <mergeCell ref="E22:E23"/>
    <mergeCell ref="F22:F23"/>
    <mergeCell ref="G18:G19"/>
    <mergeCell ref="A20:A21"/>
    <mergeCell ref="B20:B21"/>
    <mergeCell ref="C20:C21"/>
    <mergeCell ref="D20:D21"/>
    <mergeCell ref="E20:E21"/>
    <mergeCell ref="F20:F21"/>
    <mergeCell ref="G20:G21"/>
    <mergeCell ref="A18:A19"/>
    <mergeCell ref="B18:B19"/>
    <mergeCell ref="C18:C19"/>
    <mergeCell ref="D18:D19"/>
    <mergeCell ref="E18:E19"/>
    <mergeCell ref="F18:F19"/>
    <mergeCell ref="G14:G15"/>
    <mergeCell ref="A16:A17"/>
    <mergeCell ref="B16:B17"/>
    <mergeCell ref="C16:C17"/>
    <mergeCell ref="D16:D17"/>
    <mergeCell ref="E16:E17"/>
    <mergeCell ref="F16:F17"/>
    <mergeCell ref="G16:G17"/>
    <mergeCell ref="A14:A15"/>
    <mergeCell ref="B14:B15"/>
    <mergeCell ref="C14:C15"/>
    <mergeCell ref="D14:D15"/>
    <mergeCell ref="E14:E15"/>
    <mergeCell ref="F14:F15"/>
    <mergeCell ref="G10:G11"/>
    <mergeCell ref="A12:A13"/>
    <mergeCell ref="B12:B13"/>
    <mergeCell ref="C12:C13"/>
    <mergeCell ref="D12:D13"/>
    <mergeCell ref="E12:E13"/>
    <mergeCell ref="F12:F13"/>
    <mergeCell ref="G12:G13"/>
    <mergeCell ref="A10:A11"/>
    <mergeCell ref="B10:B11"/>
    <mergeCell ref="C10:C11"/>
    <mergeCell ref="D10:D11"/>
    <mergeCell ref="E10:E11"/>
    <mergeCell ref="F10:F11"/>
    <mergeCell ref="G6:G7"/>
    <mergeCell ref="A8:A9"/>
    <mergeCell ref="B8:B9"/>
    <mergeCell ref="C8:C9"/>
    <mergeCell ref="D8:D9"/>
    <mergeCell ref="E8:E9"/>
    <mergeCell ref="F8:F9"/>
    <mergeCell ref="G8:G9"/>
    <mergeCell ref="A6:A7"/>
    <mergeCell ref="B6:B7"/>
    <mergeCell ref="C6:C7"/>
    <mergeCell ref="D6:D7"/>
    <mergeCell ref="E6:E7"/>
    <mergeCell ref="F6:F7"/>
    <mergeCell ref="B1:H1"/>
    <mergeCell ref="F2:H2"/>
    <mergeCell ref="F3:H3"/>
    <mergeCell ref="B4:B5"/>
    <mergeCell ref="C4:C5"/>
    <mergeCell ref="D4:D5"/>
    <mergeCell ref="E4:E5"/>
    <mergeCell ref="F4:F5"/>
    <mergeCell ref="G4:G5"/>
  </mergeCells>
  <phoneticPr fontId="2"/>
  <dataValidations count="1">
    <dataValidation type="list" allowBlank="1" showInputMessage="1" showErrorMessage="1" sqref="F3:H3" xr:uid="{70D70E75-5C05-45CD-97A8-F6CF0FE59CD9}">
      <formula1>$L$3:$L$4</formula1>
    </dataValidation>
  </dataValidations>
  <printOptions horizontalCentered="1"/>
  <pageMargins left="0.59055118110236227" right="0.31" top="0.98425196850393704" bottom="0.7" header="0.51181102362204722" footer="0.51181102362204722"/>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A198E-AD4F-43C5-98A6-87E191BF58B6}">
  <dimension ref="A1:P32"/>
  <sheetViews>
    <sheetView showZeros="0" zoomScaleNormal="100" workbookViewId="0">
      <selection activeCell="I10" sqref="I10"/>
    </sheetView>
  </sheetViews>
  <sheetFormatPr defaultRowHeight="13.5" x14ac:dyDescent="0.15"/>
  <cols>
    <col min="1" max="1" width="9" style="106"/>
    <col min="2" max="2" width="18.625" style="106" customWidth="1"/>
    <col min="3" max="3" width="8.625" style="108" customWidth="1"/>
    <col min="4" max="6" width="8.625" style="106" customWidth="1"/>
    <col min="7" max="8" width="21.125" style="106" customWidth="1"/>
    <col min="9" max="9" width="21.75" style="106" customWidth="1"/>
    <col min="10" max="10" width="10" style="108" customWidth="1"/>
    <col min="11" max="12" width="10" style="106" customWidth="1"/>
    <col min="13" max="13" width="27.5" style="106" customWidth="1"/>
    <col min="14" max="14" width="12.5" style="106" customWidth="1"/>
    <col min="15" max="15" width="28.75" style="106" customWidth="1"/>
    <col min="16" max="16" width="15.375" style="106" customWidth="1"/>
    <col min="17" max="16384" width="9" style="106"/>
  </cols>
  <sheetData>
    <row r="1" spans="1:16" ht="34.5" customHeight="1" x14ac:dyDescent="0.15">
      <c r="B1" s="147" t="s">
        <v>21</v>
      </c>
      <c r="C1" s="147"/>
      <c r="D1" s="147"/>
      <c r="E1" s="147"/>
      <c r="F1" s="147"/>
      <c r="G1" s="147"/>
      <c r="H1" s="147"/>
      <c r="I1" s="107"/>
      <c r="J1" s="107"/>
      <c r="K1" s="107"/>
      <c r="L1" s="107"/>
      <c r="M1" s="107"/>
      <c r="N1" s="107"/>
      <c r="O1" s="107"/>
      <c r="P1" s="107"/>
    </row>
    <row r="2" spans="1:16" ht="33" customHeight="1" x14ac:dyDescent="0.15">
      <c r="B2" s="125" t="s">
        <v>57</v>
      </c>
      <c r="C2" s="157">
        <f ca="1">TODAY()</f>
        <v>45779</v>
      </c>
      <c r="D2" s="157"/>
      <c r="E2" s="157"/>
      <c r="F2" s="158" t="s">
        <v>208</v>
      </c>
      <c r="G2" s="158"/>
      <c r="H2" s="158"/>
      <c r="J2" s="130" t="s">
        <v>207</v>
      </c>
      <c r="M2" s="109"/>
      <c r="N2" s="109"/>
      <c r="O2" s="109"/>
      <c r="P2" s="109"/>
    </row>
    <row r="3" spans="1:16" ht="27.75" customHeight="1" x14ac:dyDescent="0.15">
      <c r="B3" s="148" t="s">
        <v>18</v>
      </c>
      <c r="C3" s="148" t="s">
        <v>2</v>
      </c>
      <c r="D3" s="148" t="s">
        <v>3</v>
      </c>
      <c r="E3" s="148" t="s">
        <v>4</v>
      </c>
      <c r="F3" s="149" t="s">
        <v>126</v>
      </c>
      <c r="G3" s="148" t="s">
        <v>20</v>
      </c>
      <c r="H3" s="110" t="s">
        <v>19</v>
      </c>
      <c r="I3" s="111"/>
      <c r="J3" s="130" t="s">
        <v>208</v>
      </c>
      <c r="K3" s="111"/>
      <c r="L3" s="111"/>
      <c r="M3" s="111"/>
      <c r="N3" s="111"/>
      <c r="O3" s="111"/>
      <c r="P3" s="111"/>
    </row>
    <row r="4" spans="1:16" ht="27.75" customHeight="1" x14ac:dyDescent="0.15">
      <c r="B4" s="148"/>
      <c r="C4" s="148"/>
      <c r="D4" s="148"/>
      <c r="E4" s="148"/>
      <c r="F4" s="149"/>
      <c r="G4" s="148"/>
      <c r="H4" s="110" t="s">
        <v>40</v>
      </c>
      <c r="O4" s="112"/>
      <c r="P4" s="108"/>
    </row>
    <row r="5" spans="1:16" ht="29.25" customHeight="1" x14ac:dyDescent="0.15">
      <c r="A5" s="152">
        <v>1</v>
      </c>
      <c r="B5" s="153" t="e">
        <f>IF(ISBLANK($A5), "", VLOOKUP($A5, 入力シート!$A$7:$J$1000, 3, FALSE))</f>
        <v>#REF!</v>
      </c>
      <c r="C5" s="160" t="e">
        <f>IF(ISBLANK($A5), "", VLOOKUP($A5, 入力シート!$A$7:$J$1000, 4, FALSE))</f>
        <v>#REF!</v>
      </c>
      <c r="D5" s="155" t="e">
        <f>IF(ISBLANK($A5), "", VLOOKUP($A5, 入力シート!$A$7:$J$1000, 6, FALSE))</f>
        <v>#REF!</v>
      </c>
      <c r="E5" s="155" t="e">
        <f>IF(ISBLANK($A5), "", VLOOKUP($A5, 入力シート!$A$7:$J$1000, 7, FALSE))</f>
        <v>#REF!</v>
      </c>
      <c r="F5" s="156" t="e">
        <f>IF(ISBLANK($A5), "", VLOOKUP($A5, 入力シート!$A$7:$J$1000, 10, FALSE))</f>
        <v>#REF!</v>
      </c>
      <c r="G5" s="150" t="e">
        <f>IF(ISBLANK($A5), "", VLOOKUP($A5, 入力シート!$A$7:$J$1000, 9, FALSE))</f>
        <v>#REF!</v>
      </c>
      <c r="H5" s="135" t="e">
        <f>IF(ISBLANK($A5), "", VLOOKUP($A5, 入力シート!$A$7:$J$1000, 8, FALSE))</f>
        <v>#REF!</v>
      </c>
    </row>
    <row r="6" spans="1:16" ht="29.25" customHeight="1" x14ac:dyDescent="0.15">
      <c r="A6" s="152"/>
      <c r="B6" s="153"/>
      <c r="C6" s="160"/>
      <c r="D6" s="155"/>
      <c r="E6" s="155"/>
      <c r="F6" s="156"/>
      <c r="G6" s="151"/>
      <c r="H6" s="115"/>
      <c r="O6" s="112"/>
      <c r="P6" s="108"/>
    </row>
    <row r="7" spans="1:16" ht="29.25" customHeight="1" x14ac:dyDescent="0.15">
      <c r="A7" s="152">
        <v>2</v>
      </c>
      <c r="B7" s="153" t="e">
        <f>IF(ISBLANK($A7), "", VLOOKUP($A7, 入力シート!$A$7:$J$1000, 3, FALSE))</f>
        <v>#REF!</v>
      </c>
      <c r="C7" s="160" t="e">
        <f>IF(ISBLANK($A7), "", VLOOKUP($A7, 入力シート!$A$7:$J$1000, 4, FALSE))</f>
        <v>#REF!</v>
      </c>
      <c r="D7" s="155" t="e">
        <f>IF(ISBLANK($A7), "", VLOOKUP($A7, 入力シート!$A$7:$J$1000, 6, FALSE))</f>
        <v>#REF!</v>
      </c>
      <c r="E7" s="155" t="e">
        <f>IF(ISBLANK($A7), "", VLOOKUP($A7, 入力シート!$A$7:$J$1000, 7, FALSE))</f>
        <v>#REF!</v>
      </c>
      <c r="F7" s="156" t="e">
        <f>IF(ISBLANK($A7), "", VLOOKUP($A7, 入力シート!$A$7:$J$1000, 10, FALSE))</f>
        <v>#REF!</v>
      </c>
      <c r="G7" s="150" t="e">
        <f>IF(ISBLANK($A7), "", VLOOKUP($A7, 入力シート!$A$7:$J$1000, 9, FALSE))</f>
        <v>#REF!</v>
      </c>
      <c r="H7" s="135" t="e">
        <f>IF(ISBLANK($A7), "", VLOOKUP($A7, 入力シート!$A$7:$J$1000, 8, FALSE))</f>
        <v>#REF!</v>
      </c>
    </row>
    <row r="8" spans="1:16" ht="29.25" customHeight="1" x14ac:dyDescent="0.15">
      <c r="A8" s="152"/>
      <c r="B8" s="153"/>
      <c r="C8" s="160"/>
      <c r="D8" s="155"/>
      <c r="E8" s="155"/>
      <c r="F8" s="156"/>
      <c r="G8" s="151"/>
      <c r="H8" s="115"/>
      <c r="O8" s="112"/>
      <c r="P8" s="108"/>
    </row>
    <row r="9" spans="1:16" ht="29.25" customHeight="1" x14ac:dyDescent="0.15">
      <c r="A9" s="152">
        <v>3</v>
      </c>
      <c r="B9" s="153" t="e">
        <f>IF(ISBLANK($A9), "", VLOOKUP($A9, 入力シート!$A$7:$J$1000, 3, FALSE))</f>
        <v>#REF!</v>
      </c>
      <c r="C9" s="160" t="e">
        <f>IF(ISBLANK($A9), "", VLOOKUP($A9, 入力シート!$A$7:$J$1000, 4, FALSE))</f>
        <v>#REF!</v>
      </c>
      <c r="D9" s="155" t="e">
        <f>IF(ISBLANK($A9), "", VLOOKUP($A9, 入力シート!$A$7:$J$1000, 6, FALSE))</f>
        <v>#REF!</v>
      </c>
      <c r="E9" s="155" t="e">
        <f>IF(ISBLANK($A9), "", VLOOKUP($A9, 入力シート!$A$7:$J$1000, 7, FALSE))</f>
        <v>#REF!</v>
      </c>
      <c r="F9" s="156" t="e">
        <f>IF(ISBLANK($A9), "", VLOOKUP($A9, 入力シート!$A$7:$J$1000, 10, FALSE))</f>
        <v>#REF!</v>
      </c>
      <c r="G9" s="150" t="e">
        <f>IF(ISBLANK($A9), "", VLOOKUP($A9, 入力シート!$A$7:$J$1000, 9, FALSE))</f>
        <v>#REF!</v>
      </c>
      <c r="H9" s="135" t="e">
        <f>IF(ISBLANK($A9), "", VLOOKUP($A9, 入力シート!$A$7:$J$1000, 8, FALSE))</f>
        <v>#REF!</v>
      </c>
    </row>
    <row r="10" spans="1:16" ht="29.25" customHeight="1" x14ac:dyDescent="0.15">
      <c r="A10" s="152"/>
      <c r="B10" s="153"/>
      <c r="C10" s="160"/>
      <c r="D10" s="155"/>
      <c r="E10" s="155"/>
      <c r="F10" s="156"/>
      <c r="G10" s="151"/>
      <c r="H10" s="115"/>
      <c r="O10" s="112"/>
      <c r="P10" s="108"/>
    </row>
    <row r="11" spans="1:16" ht="29.25" customHeight="1" x14ac:dyDescent="0.15">
      <c r="A11" s="152">
        <v>4</v>
      </c>
      <c r="B11" s="153" t="e">
        <f>IF(ISBLANK($A11), "", VLOOKUP($A11, 入力シート!$A$7:$J$1000, 3, FALSE))</f>
        <v>#REF!</v>
      </c>
      <c r="C11" s="160" t="e">
        <f>IF(ISBLANK($A11), "", VLOOKUP($A11, 入力シート!$A$7:$J$1000, 4, FALSE))</f>
        <v>#REF!</v>
      </c>
      <c r="D11" s="155" t="e">
        <f>IF(ISBLANK($A11), "", VLOOKUP($A11, 入力シート!$A$7:$J$1000, 6, FALSE))</f>
        <v>#REF!</v>
      </c>
      <c r="E11" s="155" t="e">
        <f>IF(ISBLANK($A11), "", VLOOKUP($A11, 入力シート!$A$7:$J$1000, 7, FALSE))</f>
        <v>#REF!</v>
      </c>
      <c r="F11" s="156" t="e">
        <f>IF(ISBLANK($A11), "", VLOOKUP($A11, 入力シート!$A$7:$J$1000, 10, FALSE))</f>
        <v>#REF!</v>
      </c>
      <c r="G11" s="150" t="e">
        <f>IF(ISBLANK($A11), "", VLOOKUP($A11, 入力シート!$A$7:$J$1000, 9, FALSE))</f>
        <v>#REF!</v>
      </c>
      <c r="H11" s="135" t="e">
        <f>IF(ISBLANK($A11), "", VLOOKUP($A11, 入力シート!$A$7:$J$1000, 8, FALSE))</f>
        <v>#REF!</v>
      </c>
    </row>
    <row r="12" spans="1:16" ht="29.25" customHeight="1" x14ac:dyDescent="0.15">
      <c r="A12" s="152"/>
      <c r="B12" s="153"/>
      <c r="C12" s="160"/>
      <c r="D12" s="155"/>
      <c r="E12" s="155"/>
      <c r="F12" s="156"/>
      <c r="G12" s="151"/>
      <c r="H12" s="115"/>
      <c r="O12" s="112"/>
      <c r="P12" s="108"/>
    </row>
    <row r="13" spans="1:16" ht="29.25" customHeight="1" x14ac:dyDescent="0.15">
      <c r="A13" s="152">
        <v>5</v>
      </c>
      <c r="B13" s="153" t="e">
        <f>IF(ISBLANK($A13), "", VLOOKUP($A13, 入力シート!$A$7:$J$1000, 3, FALSE))</f>
        <v>#REF!</v>
      </c>
      <c r="C13" s="160" t="e">
        <f>IF(ISBLANK($A13), "", VLOOKUP($A13, 入力シート!$A$7:$J$1000, 4, FALSE))</f>
        <v>#REF!</v>
      </c>
      <c r="D13" s="155" t="e">
        <f>IF(ISBLANK($A13), "", VLOOKUP($A13, 入力シート!$A$7:$J$1000, 6, FALSE))</f>
        <v>#REF!</v>
      </c>
      <c r="E13" s="155" t="e">
        <f>IF(ISBLANK($A13), "", VLOOKUP($A13, 入力シート!$A$7:$J$1000, 7, FALSE))</f>
        <v>#REF!</v>
      </c>
      <c r="F13" s="156" t="e">
        <f>IF(ISBLANK($A13), "", VLOOKUP($A13, 入力シート!$A$7:$J$1000, 10, FALSE))</f>
        <v>#REF!</v>
      </c>
      <c r="G13" s="150" t="e">
        <f>IF(ISBLANK($A13), "", VLOOKUP($A13, 入力シート!$A$7:$J$1000, 9, FALSE))</f>
        <v>#REF!</v>
      </c>
      <c r="H13" s="135" t="e">
        <f>IF(ISBLANK($A13), "", VLOOKUP($A13, 入力シート!$A$7:$J$1000, 8, FALSE))</f>
        <v>#REF!</v>
      </c>
    </row>
    <row r="14" spans="1:16" ht="29.25" customHeight="1" x14ac:dyDescent="0.15">
      <c r="A14" s="152"/>
      <c r="B14" s="153"/>
      <c r="C14" s="160"/>
      <c r="D14" s="155"/>
      <c r="E14" s="155"/>
      <c r="F14" s="156"/>
      <c r="G14" s="151"/>
      <c r="H14" s="115"/>
      <c r="O14" s="112"/>
      <c r="P14" s="108"/>
    </row>
    <row r="15" spans="1:16" ht="29.25" customHeight="1" x14ac:dyDescent="0.15">
      <c r="A15" s="152">
        <v>6</v>
      </c>
      <c r="B15" s="153" t="e">
        <f>IF(ISBLANK($A15), "", VLOOKUP($A15, 入力シート!$A$7:$J$1000, 3, FALSE))</f>
        <v>#REF!</v>
      </c>
      <c r="C15" s="160" t="e">
        <f>IF(ISBLANK($A15), "", VLOOKUP($A15, 入力シート!$A$7:$J$1000, 4, FALSE))</f>
        <v>#REF!</v>
      </c>
      <c r="D15" s="155" t="e">
        <f>IF(ISBLANK($A15), "", VLOOKUP($A15, 入力シート!$A$7:$J$1000, 6, FALSE))</f>
        <v>#REF!</v>
      </c>
      <c r="E15" s="155" t="e">
        <f>IF(ISBLANK($A15), "", VLOOKUP($A15, 入力シート!$A$7:$J$1000, 7, FALSE))</f>
        <v>#REF!</v>
      </c>
      <c r="F15" s="156" t="e">
        <f>IF(ISBLANK($A15), "", VLOOKUP($A15, 入力シート!$A$7:$J$1000, 10, FALSE))</f>
        <v>#REF!</v>
      </c>
      <c r="G15" s="150" t="e">
        <f>IF(ISBLANK($A15), "", VLOOKUP($A15, 入力シート!$A$7:$J$1000, 9, FALSE))</f>
        <v>#REF!</v>
      </c>
      <c r="H15" s="135" t="e">
        <f>IF(ISBLANK($A15), "", VLOOKUP($A15, 入力シート!$A$7:$J$1000, 8, FALSE))</f>
        <v>#REF!</v>
      </c>
    </row>
    <row r="16" spans="1:16" ht="29.25" customHeight="1" x14ac:dyDescent="0.15">
      <c r="A16" s="152"/>
      <c r="B16" s="153"/>
      <c r="C16" s="160"/>
      <c r="D16" s="155"/>
      <c r="E16" s="155"/>
      <c r="F16" s="156"/>
      <c r="G16" s="151"/>
      <c r="H16" s="115"/>
      <c r="O16" s="112"/>
      <c r="P16" s="108"/>
    </row>
    <row r="17" spans="1:16" ht="29.25" customHeight="1" x14ac:dyDescent="0.15">
      <c r="A17" s="152">
        <v>7</v>
      </c>
      <c r="B17" s="153">
        <f>IF(ISBLANK($A17), "", VLOOKUP($A17, 入力シート!$A$7:$J$1000, 3, FALSE))</f>
        <v>0</v>
      </c>
      <c r="C17" s="160">
        <f>IF(ISBLANK($A17), "", VLOOKUP($A17, 入力シート!$A$7:$J$1000, 4, FALSE))</f>
        <v>0</v>
      </c>
      <c r="D17" s="155">
        <f>IF(ISBLANK($A17), "", VLOOKUP($A17, 入力シート!$A$7:$J$1000, 6, FALSE))</f>
        <v>0</v>
      </c>
      <c r="E17" s="155">
        <f>IF(ISBLANK($A17), "", VLOOKUP($A17, 入力シート!$A$7:$J$1000, 7, FALSE))</f>
        <v>0</v>
      </c>
      <c r="F17" s="156">
        <f>IF(ISBLANK($A17), "", VLOOKUP($A17, 入力シート!$A$7:$J$1000, 10, FALSE))</f>
        <v>0</v>
      </c>
      <c r="G17" s="150">
        <f>IF(ISBLANK($A17), "", VLOOKUP($A17, 入力シート!$A$7:$J$1000, 9, FALSE))</f>
        <v>0</v>
      </c>
      <c r="H17" s="135">
        <f>IF(ISBLANK($A17), "", VLOOKUP($A17, 入力シート!$A$7:$J$1000, 8, FALSE))</f>
        <v>0</v>
      </c>
    </row>
    <row r="18" spans="1:16" ht="29.25" customHeight="1" x14ac:dyDescent="0.15">
      <c r="A18" s="152"/>
      <c r="B18" s="153"/>
      <c r="C18" s="160"/>
      <c r="D18" s="155"/>
      <c r="E18" s="155"/>
      <c r="F18" s="156"/>
      <c r="G18" s="151"/>
      <c r="H18" s="115"/>
      <c r="O18" s="112"/>
      <c r="P18" s="108"/>
    </row>
    <row r="19" spans="1:16" ht="29.25" customHeight="1" x14ac:dyDescent="0.15">
      <c r="A19" s="152">
        <v>8</v>
      </c>
      <c r="B19" s="153">
        <f>IF(ISBLANK($A19), "", VLOOKUP($A19, 入力シート!$A$7:$J$1000, 3, FALSE))</f>
        <v>0</v>
      </c>
      <c r="C19" s="160">
        <f>IF(ISBLANK($A19), "", VLOOKUP($A19, 入力シート!$A$7:$J$1000, 4, FALSE))</f>
        <v>0</v>
      </c>
      <c r="D19" s="155">
        <f>IF(ISBLANK($A19), "", VLOOKUP($A19, 入力シート!$A$7:$J$1000, 6, FALSE))</f>
        <v>0</v>
      </c>
      <c r="E19" s="155">
        <f>IF(ISBLANK($A19), "", VLOOKUP($A19, 入力シート!$A$7:$J$1000, 7, FALSE))</f>
        <v>0</v>
      </c>
      <c r="F19" s="156">
        <f>IF(ISBLANK($A19), "", VLOOKUP($A19, 入力シート!$A$7:$J$1000, 10, FALSE))</f>
        <v>0</v>
      </c>
      <c r="G19" s="150">
        <f>IF(ISBLANK($A19), "", VLOOKUP($A19, 入力シート!$A$7:$J$1000, 9, FALSE))</f>
        <v>0</v>
      </c>
      <c r="H19" s="135">
        <f>IF(ISBLANK($A19), "", VLOOKUP($A19, 入力シート!$A$7:$J$1000, 8, FALSE))</f>
        <v>0</v>
      </c>
    </row>
    <row r="20" spans="1:16" ht="29.25" customHeight="1" x14ac:dyDescent="0.15">
      <c r="A20" s="152"/>
      <c r="B20" s="153"/>
      <c r="C20" s="160"/>
      <c r="D20" s="155"/>
      <c r="E20" s="155"/>
      <c r="F20" s="156"/>
      <c r="G20" s="151"/>
      <c r="H20" s="115"/>
      <c r="O20" s="112"/>
      <c r="P20" s="108"/>
    </row>
    <row r="21" spans="1:16" ht="29.25" customHeight="1" x14ac:dyDescent="0.15">
      <c r="A21" s="152">
        <v>9</v>
      </c>
      <c r="B21" s="153">
        <f>IF(ISBLANK($A21), "", VLOOKUP($A21, 入力シート!$A$7:$J$1000, 3, FALSE))</f>
        <v>0</v>
      </c>
      <c r="C21" s="160">
        <f>IF(ISBLANK($A21), "", VLOOKUP($A21, 入力シート!$A$7:$J$1000, 4, FALSE))</f>
        <v>0</v>
      </c>
      <c r="D21" s="155">
        <f>IF(ISBLANK($A21), "", VLOOKUP($A21, 入力シート!$A$7:$J$1000, 6, FALSE))</f>
        <v>0</v>
      </c>
      <c r="E21" s="155">
        <f>IF(ISBLANK($A21), "", VLOOKUP($A21, 入力シート!$A$7:$J$1000, 7, FALSE))</f>
        <v>0</v>
      </c>
      <c r="F21" s="156">
        <f>IF(ISBLANK($A21), "", VLOOKUP($A21, 入力シート!$A$7:$J$1000, 10, FALSE))</f>
        <v>0</v>
      </c>
      <c r="G21" s="150">
        <f>IF(ISBLANK($A21), "", VLOOKUP($A21, 入力シート!$A$7:$J$1000, 9, FALSE))</f>
        <v>0</v>
      </c>
      <c r="H21" s="135">
        <f>IF(ISBLANK($A21), "", VLOOKUP($A21, 入力シート!$A$7:$J$1000, 8, FALSE))</f>
        <v>0</v>
      </c>
    </row>
    <row r="22" spans="1:16" ht="29.25" customHeight="1" x14ac:dyDescent="0.15">
      <c r="A22" s="152"/>
      <c r="B22" s="153"/>
      <c r="C22" s="160"/>
      <c r="D22" s="155"/>
      <c r="E22" s="155"/>
      <c r="F22" s="156"/>
      <c r="G22" s="151"/>
      <c r="H22" s="115"/>
      <c r="O22" s="112"/>
      <c r="P22" s="108"/>
    </row>
    <row r="23" spans="1:16" ht="29.25" customHeight="1" x14ac:dyDescent="0.15">
      <c r="A23" s="152">
        <v>10</v>
      </c>
      <c r="B23" s="153">
        <f>IF(ISBLANK($A23), "", VLOOKUP($A23, 入力シート!$A$7:$J$1000, 3, FALSE))</f>
        <v>0</v>
      </c>
      <c r="C23" s="160">
        <f>IF(ISBLANK($A23), "", VLOOKUP($A23, 入力シート!$A$7:$J$1000, 4, FALSE))</f>
        <v>0</v>
      </c>
      <c r="D23" s="155">
        <f>IF(ISBLANK($A23), "", VLOOKUP($A23, 入力シート!$A$7:$J$1000, 6, FALSE))</f>
        <v>0</v>
      </c>
      <c r="E23" s="155">
        <f>IF(ISBLANK($A23), "", VLOOKUP($A23, 入力シート!$A$7:$J$1000, 7, FALSE))</f>
        <v>0</v>
      </c>
      <c r="F23" s="156">
        <f>IF(ISBLANK($A23), "", VLOOKUP($A23, 入力シート!$A$7:$J$1000, 10, FALSE))</f>
        <v>0</v>
      </c>
      <c r="G23" s="150">
        <f>IF(ISBLANK($A23), "", VLOOKUP($A23, 入力シート!$A$7:$J$1000, 9, FALSE))</f>
        <v>0</v>
      </c>
      <c r="H23" s="135">
        <f>IF(ISBLANK($A23), "", VLOOKUP($A23, 入力シート!$A$7:$J$1000, 8, FALSE))</f>
        <v>0</v>
      </c>
    </row>
    <row r="24" spans="1:16" ht="29.25" customHeight="1" x14ac:dyDescent="0.15">
      <c r="A24" s="152"/>
      <c r="B24" s="153"/>
      <c r="C24" s="160"/>
      <c r="D24" s="155"/>
      <c r="E24" s="155"/>
      <c r="F24" s="156"/>
      <c r="G24" s="151"/>
      <c r="H24" s="115"/>
      <c r="O24" s="112"/>
      <c r="P24" s="108"/>
    </row>
    <row r="25" spans="1:16" ht="29.25" customHeight="1" x14ac:dyDescent="0.15">
      <c r="A25" s="152">
        <v>11</v>
      </c>
      <c r="B25" s="153">
        <f>IF(ISBLANK($A25), "", VLOOKUP($A25, 入力シート!$A$7:$J$1000, 3, FALSE))</f>
        <v>0</v>
      </c>
      <c r="C25" s="160">
        <f>IF(ISBLANK($A25), "", VLOOKUP($A25, 入力シート!$A$7:$J$1000, 4, FALSE))</f>
        <v>0</v>
      </c>
      <c r="D25" s="155">
        <f>IF(ISBLANK($A25), "", VLOOKUP($A25, 入力シート!$A$7:$J$1000, 6, FALSE))</f>
        <v>0</v>
      </c>
      <c r="E25" s="155">
        <f>IF(ISBLANK($A25), "", VLOOKUP($A25, 入力シート!$A$7:$J$1000, 7, FALSE))</f>
        <v>0</v>
      </c>
      <c r="F25" s="156">
        <f>IF(ISBLANK($A25), "", VLOOKUP($A25, 入力シート!$A$7:$J$1000, 10, FALSE))</f>
        <v>0</v>
      </c>
      <c r="G25" s="150">
        <f>IF(ISBLANK($A25), "", VLOOKUP($A25, 入力シート!$A$7:$J$1000, 9, FALSE))</f>
        <v>0</v>
      </c>
      <c r="H25" s="135">
        <f>IF(ISBLANK($A25), "", VLOOKUP($A25, 入力シート!$A$7:$J$1000, 8, FALSE))</f>
        <v>0</v>
      </c>
    </row>
    <row r="26" spans="1:16" ht="29.25" customHeight="1" x14ac:dyDescent="0.15">
      <c r="A26" s="152"/>
      <c r="B26" s="153"/>
      <c r="C26" s="160"/>
      <c r="D26" s="155"/>
      <c r="E26" s="155"/>
      <c r="F26" s="156"/>
      <c r="G26" s="151"/>
      <c r="H26" s="115"/>
    </row>
    <row r="27" spans="1:16" ht="29.45" customHeight="1" x14ac:dyDescent="0.15">
      <c r="A27" s="152">
        <v>12</v>
      </c>
      <c r="B27" s="153">
        <f>IF(ISBLANK($A27), "", VLOOKUP($A27, 入力シート!$A$7:$J$1000, 3, FALSE))</f>
        <v>0</v>
      </c>
      <c r="C27" s="160">
        <f>IF(ISBLANK($A27), "", VLOOKUP($A27, 入力シート!$A$7:$J$1000, 4, FALSE))</f>
        <v>0</v>
      </c>
      <c r="D27" s="155">
        <f>IF(ISBLANK($A27), "", VLOOKUP($A27, 入力シート!$A$7:$J$1000, 6, FALSE))</f>
        <v>0</v>
      </c>
      <c r="E27" s="155">
        <f>IF(ISBLANK($A27), "", VLOOKUP($A27, 入力シート!$A$7:$J$1000, 7, FALSE))</f>
        <v>0</v>
      </c>
      <c r="F27" s="156">
        <f>IF(ISBLANK($A27), "", VLOOKUP($A27, 入力シート!$A$7:$J$1000, 10, FALSE))</f>
        <v>0</v>
      </c>
      <c r="G27" s="150">
        <f>IF(ISBLANK($A27), "", VLOOKUP($A27, 入力シート!$A$7:$J$1000, 9, FALSE))</f>
        <v>0</v>
      </c>
      <c r="H27" s="135">
        <f>IF(ISBLANK($A27), "", VLOOKUP($A27, 入力シート!$A$7:$J$1000, 8, FALSE))</f>
        <v>0</v>
      </c>
    </row>
    <row r="28" spans="1:16" ht="29.45" customHeight="1" x14ac:dyDescent="0.15">
      <c r="A28" s="152"/>
      <c r="B28" s="153"/>
      <c r="C28" s="160"/>
      <c r="D28" s="155"/>
      <c r="E28" s="155"/>
      <c r="F28" s="156"/>
      <c r="G28" s="151"/>
      <c r="H28" s="115"/>
    </row>
    <row r="29" spans="1:16" ht="29.45" customHeight="1" x14ac:dyDescent="0.15">
      <c r="A29" s="152">
        <v>13</v>
      </c>
      <c r="B29" s="153">
        <f>IF(ISBLANK($A29), "", VLOOKUP($A29, 入力シート!$A$7:$J$1000, 3, FALSE))</f>
        <v>0</v>
      </c>
      <c r="C29" s="160">
        <f>IF(ISBLANK($A29), "", VLOOKUP($A29, 入力シート!$A$7:$J$1000, 4, FALSE))</f>
        <v>0</v>
      </c>
      <c r="D29" s="155">
        <f>IF(ISBLANK($A29), "", VLOOKUP($A29, 入力シート!$A$7:$J$1000, 6, FALSE))</f>
        <v>0</v>
      </c>
      <c r="E29" s="155">
        <f>IF(ISBLANK($A29), "", VLOOKUP($A29, 入力シート!$A$7:$J$1000, 7, FALSE))</f>
        <v>0</v>
      </c>
      <c r="F29" s="156">
        <f>IF(ISBLANK($A29), "", VLOOKUP($A29, 入力シート!$A$7:$J$1000, 10, FALSE))</f>
        <v>0</v>
      </c>
      <c r="G29" s="150">
        <f>IF(ISBLANK($A29), "", VLOOKUP($A29, 入力シート!$A$7:$J$1000, 9, FALSE))</f>
        <v>0</v>
      </c>
      <c r="H29" s="135">
        <f>IF(ISBLANK($A29), "", VLOOKUP($A29, 入力シート!$A$7:$J$1000, 8, FALSE))</f>
        <v>0</v>
      </c>
    </row>
    <row r="30" spans="1:16" ht="29.45" customHeight="1" x14ac:dyDescent="0.15">
      <c r="A30" s="152"/>
      <c r="B30" s="153"/>
      <c r="C30" s="160"/>
      <c r="D30" s="155"/>
      <c r="E30" s="155"/>
      <c r="F30" s="156"/>
      <c r="G30" s="151"/>
      <c r="H30" s="115"/>
    </row>
    <row r="31" spans="1:16" ht="29.45" customHeight="1" x14ac:dyDescent="0.15">
      <c r="A31" s="152">
        <v>14</v>
      </c>
      <c r="B31" s="153">
        <f>IF(ISBLANK($A31), "", VLOOKUP($A31, 入力シート!$A$7:$J$1000, 3, FALSE))</f>
        <v>0</v>
      </c>
      <c r="C31" s="160">
        <f>IF(ISBLANK($A31), "", VLOOKUP($A31, 入力シート!$A$7:$J$1000, 4, FALSE))</f>
        <v>0</v>
      </c>
      <c r="D31" s="155">
        <f>IF(ISBLANK($A31), "", VLOOKUP($A31, 入力シート!$A$7:$J$1000, 6, FALSE))</f>
        <v>0</v>
      </c>
      <c r="E31" s="155">
        <f>IF(ISBLANK($A31), "", VLOOKUP($A31, 入力シート!$A$7:$J$1000, 7, FALSE))</f>
        <v>0</v>
      </c>
      <c r="F31" s="156">
        <f>IF(ISBLANK($A31), "", VLOOKUP($A31, 入力シート!$A$7:$J$1000, 10, FALSE))</f>
        <v>0</v>
      </c>
      <c r="G31" s="150">
        <f>IF(ISBLANK($A31), "", VLOOKUP($A31, 入力シート!$A$7:$J$1000, 9, FALSE))</f>
        <v>0</v>
      </c>
      <c r="H31" s="135">
        <f>IF(ISBLANK($A31), "", VLOOKUP($A31, 入力シート!$A$7:$J$1000, 8, FALSE))</f>
        <v>0</v>
      </c>
    </row>
    <row r="32" spans="1:16" ht="29.45" customHeight="1" x14ac:dyDescent="0.15">
      <c r="A32" s="152"/>
      <c r="B32" s="153"/>
      <c r="C32" s="160"/>
      <c r="D32" s="155"/>
      <c r="E32" s="155"/>
      <c r="F32" s="156"/>
      <c r="G32" s="151"/>
      <c r="H32" s="115"/>
    </row>
  </sheetData>
  <mergeCells count="107">
    <mergeCell ref="A29:A30"/>
    <mergeCell ref="A31:A32"/>
    <mergeCell ref="B31:B32"/>
    <mergeCell ref="C31:C32"/>
    <mergeCell ref="D31:D32"/>
    <mergeCell ref="E31:E32"/>
    <mergeCell ref="F31:F32"/>
    <mergeCell ref="G31:G32"/>
    <mergeCell ref="B29:B30"/>
    <mergeCell ref="C29:C30"/>
    <mergeCell ref="D29:D30"/>
    <mergeCell ref="E29:E30"/>
    <mergeCell ref="F29:F30"/>
    <mergeCell ref="G29:G30"/>
    <mergeCell ref="G25:G26"/>
    <mergeCell ref="B27:B28"/>
    <mergeCell ref="C27:C28"/>
    <mergeCell ref="D27:D28"/>
    <mergeCell ref="E27:E28"/>
    <mergeCell ref="F27:F28"/>
    <mergeCell ref="G27:G28"/>
    <mergeCell ref="A25:A26"/>
    <mergeCell ref="B25:B26"/>
    <mergeCell ref="C25:C26"/>
    <mergeCell ref="D25:D26"/>
    <mergeCell ref="E25:E26"/>
    <mergeCell ref="F25:F26"/>
    <mergeCell ref="A27:A28"/>
    <mergeCell ref="G21:G22"/>
    <mergeCell ref="A23:A24"/>
    <mergeCell ref="B23:B24"/>
    <mergeCell ref="C23:C24"/>
    <mergeCell ref="D23:D24"/>
    <mergeCell ref="E23:E24"/>
    <mergeCell ref="F23:F24"/>
    <mergeCell ref="G23:G24"/>
    <mergeCell ref="A21:A22"/>
    <mergeCell ref="B21:B22"/>
    <mergeCell ref="C21:C22"/>
    <mergeCell ref="D21:D22"/>
    <mergeCell ref="E21:E22"/>
    <mergeCell ref="F21:F22"/>
    <mergeCell ref="G17:G18"/>
    <mergeCell ref="A19:A20"/>
    <mergeCell ref="B19:B20"/>
    <mergeCell ref="C19:C20"/>
    <mergeCell ref="D19:D20"/>
    <mergeCell ref="E19:E20"/>
    <mergeCell ref="F19:F20"/>
    <mergeCell ref="G19:G20"/>
    <mergeCell ref="A17:A18"/>
    <mergeCell ref="B17:B18"/>
    <mergeCell ref="C17:C18"/>
    <mergeCell ref="D17:D18"/>
    <mergeCell ref="E17:E18"/>
    <mergeCell ref="F17:F18"/>
    <mergeCell ref="G13:G14"/>
    <mergeCell ref="A15:A16"/>
    <mergeCell ref="B15:B16"/>
    <mergeCell ref="C15:C16"/>
    <mergeCell ref="D15:D16"/>
    <mergeCell ref="E15:E16"/>
    <mergeCell ref="F15:F16"/>
    <mergeCell ref="G15:G16"/>
    <mergeCell ref="A13:A14"/>
    <mergeCell ref="B13:B14"/>
    <mergeCell ref="C13:C14"/>
    <mergeCell ref="D13:D14"/>
    <mergeCell ref="E13:E14"/>
    <mergeCell ref="F13:F14"/>
    <mergeCell ref="G9:G10"/>
    <mergeCell ref="A11:A12"/>
    <mergeCell ref="B11:B12"/>
    <mergeCell ref="C11:C12"/>
    <mergeCell ref="D11:D12"/>
    <mergeCell ref="E11:E12"/>
    <mergeCell ref="F11:F12"/>
    <mergeCell ref="G11:G12"/>
    <mergeCell ref="A9:A10"/>
    <mergeCell ref="B9:B10"/>
    <mergeCell ref="C9:C10"/>
    <mergeCell ref="D9:D10"/>
    <mergeCell ref="E9:E10"/>
    <mergeCell ref="F9:F10"/>
    <mergeCell ref="G5:G6"/>
    <mergeCell ref="A7:A8"/>
    <mergeCell ref="B7:B8"/>
    <mergeCell ref="C7:C8"/>
    <mergeCell ref="D7:D8"/>
    <mergeCell ref="E7:E8"/>
    <mergeCell ref="F7:F8"/>
    <mergeCell ref="G7:G8"/>
    <mergeCell ref="A5:A6"/>
    <mergeCell ref="B5:B6"/>
    <mergeCell ref="C5:C6"/>
    <mergeCell ref="D5:D6"/>
    <mergeCell ref="E5:E6"/>
    <mergeCell ref="F5:F6"/>
    <mergeCell ref="B1:H1"/>
    <mergeCell ref="C2:E2"/>
    <mergeCell ref="F2:H2"/>
    <mergeCell ref="B3:B4"/>
    <mergeCell ref="C3:C4"/>
    <mergeCell ref="D3:D4"/>
    <mergeCell ref="E3:E4"/>
    <mergeCell ref="F3:F4"/>
    <mergeCell ref="G3:G4"/>
  </mergeCells>
  <phoneticPr fontId="2"/>
  <dataValidations count="1">
    <dataValidation type="list" allowBlank="1" showInputMessage="1" showErrorMessage="1" sqref="F2:H2" xr:uid="{C7A5330E-4A99-4CAE-B1B1-137D156F2C5F}">
      <formula1>$J$2:$J$3</formula1>
    </dataValidation>
  </dataValidations>
  <printOptions horizontalCentered="1"/>
  <pageMargins left="0.59055118110236227" right="0.31" top="0.98425196850393704" bottom="0.7" header="0.51181102362204722" footer="0.51181102362204722"/>
  <pageSetup paperSize="9" orientation="portrait" horizontalDpi="4294967292" verticalDpi="12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EAF92-816F-47F1-A1D5-FBA01AE16679}">
  <dimension ref="A1:O32"/>
  <sheetViews>
    <sheetView showZeros="0" zoomScaleNormal="100" workbookViewId="0">
      <selection activeCell="B17" sqref="B17:B18"/>
    </sheetView>
  </sheetViews>
  <sheetFormatPr defaultRowHeight="13.5" x14ac:dyDescent="0.15"/>
  <cols>
    <col min="1" max="1" width="9" style="106"/>
    <col min="2" max="2" width="18.625" style="106" customWidth="1"/>
    <col min="3" max="3" width="8.625" style="108" customWidth="1"/>
    <col min="4" max="5" width="8.625" style="106" customWidth="1"/>
    <col min="6" max="6" width="18.625" style="106" customWidth="1"/>
    <col min="7" max="7" width="23.125" style="106" customWidth="1"/>
    <col min="8" max="8" width="21.75" style="106" customWidth="1"/>
    <col min="9" max="9" width="10" style="108" customWidth="1"/>
    <col min="10" max="11" width="10" style="106" customWidth="1"/>
    <col min="12" max="12" width="27.5" style="106" customWidth="1"/>
    <col min="13" max="13" width="12.5" style="106" customWidth="1"/>
    <col min="14" max="14" width="28.75" style="106" customWidth="1"/>
    <col min="15" max="15" width="15.375" style="106" customWidth="1"/>
    <col min="16" max="16384" width="9" style="106"/>
  </cols>
  <sheetData>
    <row r="1" spans="1:15" ht="34.5" customHeight="1" x14ac:dyDescent="0.15">
      <c r="B1" s="147" t="s">
        <v>21</v>
      </c>
      <c r="C1" s="147"/>
      <c r="D1" s="147"/>
      <c r="E1" s="147"/>
      <c r="F1" s="147"/>
      <c r="G1" s="147"/>
      <c r="H1" s="107"/>
      <c r="I1" s="107"/>
      <c r="J1" s="107"/>
      <c r="K1" s="107"/>
      <c r="L1" s="107"/>
      <c r="M1" s="107"/>
      <c r="N1" s="107"/>
      <c r="O1" s="107"/>
    </row>
    <row r="2" spans="1:15" ht="33" customHeight="1" x14ac:dyDescent="0.15">
      <c r="F2" s="109"/>
      <c r="G2" s="109"/>
      <c r="L2" s="109"/>
      <c r="M2" s="109"/>
      <c r="N2" s="109"/>
      <c r="O2" s="109"/>
    </row>
    <row r="3" spans="1:15" ht="27.75" customHeight="1" x14ac:dyDescent="0.15">
      <c r="B3" s="148" t="s">
        <v>18</v>
      </c>
      <c r="C3" s="148" t="s">
        <v>2</v>
      </c>
      <c r="D3" s="148" t="s">
        <v>3</v>
      </c>
      <c r="E3" s="148" t="s">
        <v>4</v>
      </c>
      <c r="F3" s="148" t="s">
        <v>20</v>
      </c>
      <c r="G3" s="110" t="s">
        <v>140</v>
      </c>
      <c r="H3" s="111"/>
      <c r="I3" s="111"/>
      <c r="J3" s="111"/>
      <c r="K3" s="111"/>
      <c r="L3" s="111"/>
      <c r="M3" s="111"/>
      <c r="N3" s="111"/>
      <c r="O3" s="111"/>
    </row>
    <row r="4" spans="1:15" ht="27.75" customHeight="1" x14ac:dyDescent="0.15">
      <c r="B4" s="148"/>
      <c r="C4" s="148"/>
      <c r="D4" s="148"/>
      <c r="E4" s="148"/>
      <c r="F4" s="148"/>
      <c r="G4" s="110" t="s">
        <v>37</v>
      </c>
      <c r="N4" s="112"/>
      <c r="O4" s="108"/>
    </row>
    <row r="5" spans="1:15" ht="29.25" customHeight="1" x14ac:dyDescent="0.15">
      <c r="A5" s="152">
        <v>1</v>
      </c>
      <c r="B5" s="153" t="e">
        <f>IF(ISBLANK($A5), "", VLOOKUP($A5, 入力シート!$A$7:$J$1000, 3, FALSE))</f>
        <v>#REF!</v>
      </c>
      <c r="C5" s="160" t="e">
        <f>IF(ISBLANK($A5), "", VLOOKUP($A5, 入力シート!$A$7:$J$1000, 4, FALSE))</f>
        <v>#REF!</v>
      </c>
      <c r="D5" s="155" t="e">
        <f>IF(ISBLANK($A5), "", VLOOKUP($A5, 入力シート!$A$7:$J$1000, 6, FALSE))</f>
        <v>#REF!</v>
      </c>
      <c r="E5" s="155" t="e">
        <f>IF(ISBLANK($A5), "", VLOOKUP($A5, 入力シート!$A$7:$J$1000, 7, FALSE))</f>
        <v>#REF!</v>
      </c>
      <c r="F5" s="150" t="e">
        <f>IF(ISBLANK($A5), "", VLOOKUP($A5, 入力シート!$A$7:$J$1000, 9, FALSE))</f>
        <v>#REF!</v>
      </c>
      <c r="G5" s="135" t="e">
        <f>IF(ISBLANK($A5), "", VLOOKUP($A5, 入力シート!$A$7:$J$1000, 8, FALSE))</f>
        <v>#REF!</v>
      </c>
    </row>
    <row r="6" spans="1:15" ht="29.25" customHeight="1" x14ac:dyDescent="0.15">
      <c r="A6" s="152"/>
      <c r="B6" s="153"/>
      <c r="C6" s="160"/>
      <c r="D6" s="155"/>
      <c r="E6" s="155"/>
      <c r="F6" s="151"/>
      <c r="G6" s="115"/>
      <c r="N6" s="112"/>
      <c r="O6" s="108"/>
    </row>
    <row r="7" spans="1:15" ht="29.25" customHeight="1" x14ac:dyDescent="0.15">
      <c r="A7" s="152">
        <v>2</v>
      </c>
      <c r="B7" s="153" t="e">
        <f>IF(ISBLANK($A7), "", VLOOKUP($A7, 入力シート!$A$7:$J$1000, 3, FALSE))</f>
        <v>#REF!</v>
      </c>
      <c r="C7" s="160" t="e">
        <f>IF(ISBLANK($A7), "", VLOOKUP($A7, 入力シート!$A$7:$J$1000, 4, FALSE))</f>
        <v>#REF!</v>
      </c>
      <c r="D7" s="155" t="e">
        <f>IF(ISBLANK($A7), "", VLOOKUP($A7, 入力シート!$A$7:$J$1000, 6, FALSE))</f>
        <v>#REF!</v>
      </c>
      <c r="E7" s="155" t="e">
        <f>IF(ISBLANK($A7), "", VLOOKUP($A7, 入力シート!$A$7:$J$1000, 7, FALSE))</f>
        <v>#REF!</v>
      </c>
      <c r="F7" s="150" t="e">
        <f>IF(ISBLANK($A7), "", VLOOKUP($A7, 入力シート!$A$7:$J$1000, 9, FALSE))</f>
        <v>#REF!</v>
      </c>
      <c r="G7" s="135" t="e">
        <f>IF(ISBLANK($A7), "", VLOOKUP($A7, 入力シート!$A$7:$J$1000, 8, FALSE))</f>
        <v>#REF!</v>
      </c>
    </row>
    <row r="8" spans="1:15" ht="29.25" customHeight="1" x14ac:dyDescent="0.15">
      <c r="A8" s="152"/>
      <c r="B8" s="153"/>
      <c r="C8" s="160"/>
      <c r="D8" s="155"/>
      <c r="E8" s="155"/>
      <c r="F8" s="151"/>
      <c r="G8" s="115"/>
      <c r="N8" s="112"/>
      <c r="O8" s="108"/>
    </row>
    <row r="9" spans="1:15" ht="29.25" customHeight="1" x14ac:dyDescent="0.15">
      <c r="A9" s="152">
        <v>3</v>
      </c>
      <c r="B9" s="153" t="e">
        <f>IF(ISBLANK($A9), "", VLOOKUP($A9, 入力シート!$A$7:$J$1000, 3, FALSE))</f>
        <v>#REF!</v>
      </c>
      <c r="C9" s="160" t="e">
        <f>IF(ISBLANK($A9), "", VLOOKUP($A9, 入力シート!$A$7:$J$1000, 4, FALSE))</f>
        <v>#REF!</v>
      </c>
      <c r="D9" s="155" t="e">
        <f>IF(ISBLANK($A9), "", VLOOKUP($A9, 入力シート!$A$7:$J$1000, 6, FALSE))</f>
        <v>#REF!</v>
      </c>
      <c r="E9" s="155" t="e">
        <f>IF(ISBLANK($A9), "", VLOOKUP($A9, 入力シート!$A$7:$J$1000, 7, FALSE))</f>
        <v>#REF!</v>
      </c>
      <c r="F9" s="150" t="e">
        <f>IF(ISBLANK($A9), "", VLOOKUP($A9, 入力シート!$A$7:$J$1000, 9, FALSE))</f>
        <v>#REF!</v>
      </c>
      <c r="G9" s="135" t="e">
        <f>IF(ISBLANK($A9), "", VLOOKUP($A9, 入力シート!$A$7:$J$1000, 8, FALSE))</f>
        <v>#REF!</v>
      </c>
    </row>
    <row r="10" spans="1:15" ht="29.25" customHeight="1" x14ac:dyDescent="0.15">
      <c r="A10" s="152"/>
      <c r="B10" s="153"/>
      <c r="C10" s="160"/>
      <c r="D10" s="155"/>
      <c r="E10" s="155"/>
      <c r="F10" s="151"/>
      <c r="G10" s="115"/>
      <c r="N10" s="112"/>
      <c r="O10" s="108"/>
    </row>
    <row r="11" spans="1:15" ht="29.25" customHeight="1" x14ac:dyDescent="0.15">
      <c r="A11" s="152">
        <v>4</v>
      </c>
      <c r="B11" s="153" t="e">
        <f>IF(ISBLANK($A11), "", VLOOKUP($A11, 入力シート!$A$7:$J$1000, 3, FALSE))</f>
        <v>#REF!</v>
      </c>
      <c r="C11" s="160" t="e">
        <f>IF(ISBLANK($A11), "", VLOOKUP($A11, 入力シート!$A$7:$J$1000, 4, FALSE))</f>
        <v>#REF!</v>
      </c>
      <c r="D11" s="155" t="e">
        <f>IF(ISBLANK($A11), "", VLOOKUP($A11, 入力シート!$A$7:$J$1000, 6, FALSE))</f>
        <v>#REF!</v>
      </c>
      <c r="E11" s="155" t="e">
        <f>IF(ISBLANK($A11), "", VLOOKUP($A11, 入力シート!$A$7:$J$1000, 7, FALSE))</f>
        <v>#REF!</v>
      </c>
      <c r="F11" s="150" t="e">
        <f>IF(ISBLANK($A11), "", VLOOKUP($A11, 入力シート!$A$7:$J$1000, 9, FALSE))</f>
        <v>#REF!</v>
      </c>
      <c r="G11" s="135" t="e">
        <f>IF(ISBLANK($A11), "", VLOOKUP($A11, 入力シート!$A$7:$J$1000, 8, FALSE))</f>
        <v>#REF!</v>
      </c>
    </row>
    <row r="12" spans="1:15" ht="29.25" customHeight="1" x14ac:dyDescent="0.15">
      <c r="A12" s="152"/>
      <c r="B12" s="153"/>
      <c r="C12" s="160"/>
      <c r="D12" s="155"/>
      <c r="E12" s="155"/>
      <c r="F12" s="151"/>
      <c r="G12" s="115"/>
      <c r="N12" s="112"/>
      <c r="O12" s="108"/>
    </row>
    <row r="13" spans="1:15" ht="29.25" customHeight="1" x14ac:dyDescent="0.15">
      <c r="A13" s="152">
        <v>5</v>
      </c>
      <c r="B13" s="153" t="e">
        <f>IF(ISBLANK($A13), "", VLOOKUP($A13, 入力シート!$A$7:$J$1000, 3, FALSE))</f>
        <v>#REF!</v>
      </c>
      <c r="C13" s="160" t="e">
        <f>IF(ISBLANK($A13), "", VLOOKUP($A13, 入力シート!$A$7:$J$1000, 4, FALSE))</f>
        <v>#REF!</v>
      </c>
      <c r="D13" s="155" t="e">
        <f>IF(ISBLANK($A13), "", VLOOKUP($A13, 入力シート!$A$7:$J$1000, 6, FALSE))</f>
        <v>#REF!</v>
      </c>
      <c r="E13" s="155" t="e">
        <f>IF(ISBLANK($A13), "", VLOOKUP($A13, 入力シート!$A$7:$J$1000, 7, FALSE))</f>
        <v>#REF!</v>
      </c>
      <c r="F13" s="150" t="e">
        <f>IF(ISBLANK($A13), "", VLOOKUP($A13, 入力シート!$A$7:$J$1000, 9, FALSE))</f>
        <v>#REF!</v>
      </c>
      <c r="G13" s="135" t="e">
        <f>IF(ISBLANK($A13), "", VLOOKUP($A13, 入力シート!$A$7:$J$1000, 8, FALSE))</f>
        <v>#REF!</v>
      </c>
    </row>
    <row r="14" spans="1:15" ht="29.25" customHeight="1" x14ac:dyDescent="0.15">
      <c r="A14" s="152"/>
      <c r="B14" s="153"/>
      <c r="C14" s="160"/>
      <c r="D14" s="155"/>
      <c r="E14" s="155"/>
      <c r="F14" s="151"/>
      <c r="G14" s="115"/>
      <c r="N14" s="112"/>
      <c r="O14" s="108"/>
    </row>
    <row r="15" spans="1:15" ht="29.25" customHeight="1" x14ac:dyDescent="0.15">
      <c r="A15" s="152">
        <v>6</v>
      </c>
      <c r="B15" s="153" t="e">
        <f>IF(ISBLANK($A15), "", VLOOKUP($A15, 入力シート!$A$7:$J$1000, 3, FALSE))</f>
        <v>#REF!</v>
      </c>
      <c r="C15" s="160" t="e">
        <f>IF(ISBLANK($A15), "", VLOOKUP($A15, 入力シート!$A$7:$J$1000, 4, FALSE))</f>
        <v>#REF!</v>
      </c>
      <c r="D15" s="155" t="e">
        <f>IF(ISBLANK($A15), "", VLOOKUP($A15, 入力シート!$A$7:$J$1000, 6, FALSE))</f>
        <v>#REF!</v>
      </c>
      <c r="E15" s="155" t="e">
        <f>IF(ISBLANK($A15), "", VLOOKUP($A15, 入力シート!$A$7:$J$1000, 7, FALSE))</f>
        <v>#REF!</v>
      </c>
      <c r="F15" s="150" t="e">
        <f>IF(ISBLANK($A15), "", VLOOKUP($A15, 入力シート!$A$7:$J$1000, 9, FALSE))</f>
        <v>#REF!</v>
      </c>
      <c r="G15" s="135" t="e">
        <f>IF(ISBLANK($A15), "", VLOOKUP($A15, 入力シート!$A$7:$J$1000, 8, FALSE))</f>
        <v>#REF!</v>
      </c>
    </row>
    <row r="16" spans="1:15" ht="29.25" customHeight="1" x14ac:dyDescent="0.15">
      <c r="A16" s="152"/>
      <c r="B16" s="153"/>
      <c r="C16" s="160"/>
      <c r="D16" s="155"/>
      <c r="E16" s="155"/>
      <c r="F16" s="151"/>
      <c r="G16" s="115"/>
      <c r="N16" s="112"/>
      <c r="O16" s="108"/>
    </row>
    <row r="17" spans="1:15" ht="29.25" customHeight="1" x14ac:dyDescent="0.15">
      <c r="A17" s="152">
        <v>7</v>
      </c>
      <c r="B17" s="153">
        <f>IF(ISBLANK($A17), "", VLOOKUP($A17, 入力シート!$A$7:$J$1000, 3, FALSE))</f>
        <v>0</v>
      </c>
      <c r="C17" s="160">
        <f>IF(ISBLANK($A17), "", VLOOKUP($A17, 入力シート!$A$7:$J$1000, 4, FALSE))</f>
        <v>0</v>
      </c>
      <c r="D17" s="155">
        <f>IF(ISBLANK($A17), "", VLOOKUP($A17, 入力シート!$A$7:$J$1000, 6, FALSE))</f>
        <v>0</v>
      </c>
      <c r="E17" s="155">
        <f>IF(ISBLANK($A17), "", VLOOKUP($A17, 入力シート!$A$7:$J$1000, 7, FALSE))</f>
        <v>0</v>
      </c>
      <c r="F17" s="150">
        <f>IF(ISBLANK($A17), "", VLOOKUP($A17, 入力シート!$A$7:$J$1000, 9, FALSE))</f>
        <v>0</v>
      </c>
      <c r="G17" s="135">
        <f>IF(ISBLANK($A17), "", VLOOKUP($A17, 入力シート!$A$7:$J$1000, 8, FALSE))</f>
        <v>0</v>
      </c>
    </row>
    <row r="18" spans="1:15" ht="29.25" customHeight="1" x14ac:dyDescent="0.15">
      <c r="A18" s="152"/>
      <c r="B18" s="153"/>
      <c r="C18" s="160"/>
      <c r="D18" s="155"/>
      <c r="E18" s="155"/>
      <c r="F18" s="151"/>
      <c r="G18" s="115"/>
      <c r="N18" s="112"/>
      <c r="O18" s="108"/>
    </row>
    <row r="19" spans="1:15" ht="29.25" customHeight="1" x14ac:dyDescent="0.15">
      <c r="A19" s="152">
        <v>8</v>
      </c>
      <c r="B19" s="153">
        <f>IF(ISBLANK($A19), "", VLOOKUP($A19, 入力シート!$A$7:$J$1000, 3, FALSE))</f>
        <v>0</v>
      </c>
      <c r="C19" s="160">
        <f>IF(ISBLANK($A19), "", VLOOKUP($A19, 入力シート!$A$7:$J$1000, 4, FALSE))</f>
        <v>0</v>
      </c>
      <c r="D19" s="155">
        <f>IF(ISBLANK($A19), "", VLOOKUP($A19, 入力シート!$A$7:$J$1000, 6, FALSE))</f>
        <v>0</v>
      </c>
      <c r="E19" s="155">
        <f>IF(ISBLANK($A19), "", VLOOKUP($A19, 入力シート!$A$7:$J$1000, 7, FALSE))</f>
        <v>0</v>
      </c>
      <c r="F19" s="150">
        <f>IF(ISBLANK($A19), "", VLOOKUP($A19, 入力シート!$A$7:$J$1000, 9, FALSE))</f>
        <v>0</v>
      </c>
      <c r="G19" s="135">
        <f>IF(ISBLANK($A19), "", VLOOKUP($A19, 入力シート!$A$7:$J$1000, 8, FALSE))</f>
        <v>0</v>
      </c>
    </row>
    <row r="20" spans="1:15" ht="29.25" customHeight="1" x14ac:dyDescent="0.15">
      <c r="A20" s="152"/>
      <c r="B20" s="153"/>
      <c r="C20" s="160"/>
      <c r="D20" s="155"/>
      <c r="E20" s="155"/>
      <c r="F20" s="151"/>
      <c r="G20" s="115"/>
      <c r="N20" s="112"/>
      <c r="O20" s="108"/>
    </row>
    <row r="21" spans="1:15" ht="29.25" customHeight="1" x14ac:dyDescent="0.15">
      <c r="A21" s="152">
        <v>9</v>
      </c>
      <c r="B21" s="153">
        <f>IF(ISBLANK($A21), "", VLOOKUP($A21, 入力シート!$A$7:$J$1000, 3, FALSE))</f>
        <v>0</v>
      </c>
      <c r="C21" s="160">
        <f>IF(ISBLANK($A21), "", VLOOKUP($A21, 入力シート!$A$7:$J$1000, 4, FALSE))</f>
        <v>0</v>
      </c>
      <c r="D21" s="155">
        <f>IF(ISBLANK($A21), "", VLOOKUP($A21, 入力シート!$A$7:$J$1000, 6, FALSE))</f>
        <v>0</v>
      </c>
      <c r="E21" s="155">
        <f>IF(ISBLANK($A21), "", VLOOKUP($A21, 入力シート!$A$7:$J$1000, 7, FALSE))</f>
        <v>0</v>
      </c>
      <c r="F21" s="150">
        <f>IF(ISBLANK($A21), "", VLOOKUP($A21, 入力シート!$A$7:$J$1000, 9, FALSE))</f>
        <v>0</v>
      </c>
      <c r="G21" s="135">
        <f>IF(ISBLANK($A21), "", VLOOKUP($A21, 入力シート!$A$7:$J$1000, 8, FALSE))</f>
        <v>0</v>
      </c>
    </row>
    <row r="22" spans="1:15" ht="29.25" customHeight="1" x14ac:dyDescent="0.15">
      <c r="A22" s="152"/>
      <c r="B22" s="153"/>
      <c r="C22" s="160"/>
      <c r="D22" s="155"/>
      <c r="E22" s="155"/>
      <c r="F22" s="151"/>
      <c r="G22" s="115"/>
      <c r="N22" s="112"/>
      <c r="O22" s="108"/>
    </row>
    <row r="23" spans="1:15" ht="29.25" customHeight="1" x14ac:dyDescent="0.15">
      <c r="A23" s="152">
        <v>10</v>
      </c>
      <c r="B23" s="153">
        <f>IF(ISBLANK($A23), "", VLOOKUP($A23, 入力シート!$A$7:$J$1000, 3, FALSE))</f>
        <v>0</v>
      </c>
      <c r="C23" s="160">
        <f>IF(ISBLANK($A23), "", VLOOKUP($A23, 入力シート!$A$7:$J$1000, 4, FALSE))</f>
        <v>0</v>
      </c>
      <c r="D23" s="155">
        <f>IF(ISBLANK($A23), "", VLOOKUP($A23, 入力シート!$A$7:$J$1000, 6, FALSE))</f>
        <v>0</v>
      </c>
      <c r="E23" s="155">
        <f>IF(ISBLANK($A23), "", VLOOKUP($A23, 入力シート!$A$7:$J$1000, 7, FALSE))</f>
        <v>0</v>
      </c>
      <c r="F23" s="150">
        <f>IF(ISBLANK($A23), "", VLOOKUP($A23, 入力シート!$A$7:$J$1000, 9, FALSE))</f>
        <v>0</v>
      </c>
      <c r="G23" s="135">
        <f>IF(ISBLANK($A23), "", VLOOKUP($A23, 入力シート!$A$7:$J$1000, 8, FALSE))</f>
        <v>0</v>
      </c>
    </row>
    <row r="24" spans="1:15" ht="29.25" customHeight="1" x14ac:dyDescent="0.15">
      <c r="A24" s="152"/>
      <c r="B24" s="153"/>
      <c r="C24" s="160"/>
      <c r="D24" s="155"/>
      <c r="E24" s="155"/>
      <c r="F24" s="151"/>
      <c r="G24" s="115"/>
      <c r="N24" s="112"/>
      <c r="O24" s="108"/>
    </row>
    <row r="25" spans="1:15" ht="29.25" customHeight="1" x14ac:dyDescent="0.15">
      <c r="A25" s="152">
        <v>11</v>
      </c>
      <c r="B25" s="153">
        <f>IF(ISBLANK($A25), "", VLOOKUP($A25, 入力シート!$A$7:$J$1000, 3, FALSE))</f>
        <v>0</v>
      </c>
      <c r="C25" s="160">
        <f>IF(ISBLANK($A25), "", VLOOKUP($A25, 入力シート!$A$7:$J$1000, 4, FALSE))</f>
        <v>0</v>
      </c>
      <c r="D25" s="155">
        <f>IF(ISBLANK($A25), "", VLOOKUP($A25, 入力シート!$A$7:$J$1000, 6, FALSE))</f>
        <v>0</v>
      </c>
      <c r="E25" s="155">
        <f>IF(ISBLANK($A25), "", VLOOKUP($A25, 入力シート!$A$7:$J$1000, 7, FALSE))</f>
        <v>0</v>
      </c>
      <c r="F25" s="150">
        <f>IF(ISBLANK($A25), "", VLOOKUP($A25, 入力シート!$A$7:$J$1000, 9, FALSE))</f>
        <v>0</v>
      </c>
      <c r="G25" s="135">
        <f>IF(ISBLANK($A25), "", VLOOKUP($A25, 入力シート!$A$7:$J$1000, 8, FALSE))</f>
        <v>0</v>
      </c>
    </row>
    <row r="26" spans="1:15" ht="29.25" customHeight="1" x14ac:dyDescent="0.15">
      <c r="A26" s="152"/>
      <c r="B26" s="153"/>
      <c r="C26" s="160"/>
      <c r="D26" s="155"/>
      <c r="E26" s="155"/>
      <c r="F26" s="151"/>
      <c r="G26" s="115"/>
    </row>
    <row r="27" spans="1:15" ht="29.25" customHeight="1" x14ac:dyDescent="0.15">
      <c r="A27" s="152">
        <v>12</v>
      </c>
      <c r="B27" s="153">
        <f>IF(ISBLANK($A27), "", VLOOKUP($A27, 入力シート!$A$7:$J$1000, 3, FALSE))</f>
        <v>0</v>
      </c>
      <c r="C27" s="160">
        <f>IF(ISBLANK($A27), "", VLOOKUP($A27, 入力シート!$A$7:$J$1000, 4, FALSE))</f>
        <v>0</v>
      </c>
      <c r="D27" s="155">
        <f>IF(ISBLANK($A27), "", VLOOKUP($A27, 入力シート!$A$7:$J$1000, 6, FALSE))</f>
        <v>0</v>
      </c>
      <c r="E27" s="155">
        <f>IF(ISBLANK($A27), "", VLOOKUP($A27, 入力シート!$A$7:$J$1000, 7, FALSE))</f>
        <v>0</v>
      </c>
      <c r="F27" s="150">
        <f>IF(ISBLANK($A27), "", VLOOKUP($A27, 入力シート!$A$7:$J$1000, 9, FALSE))</f>
        <v>0</v>
      </c>
      <c r="G27" s="135">
        <f>IF(ISBLANK($A27), "", VLOOKUP($A27, 入力シート!$A$7:$J$1000, 8, FALSE))</f>
        <v>0</v>
      </c>
    </row>
    <row r="28" spans="1:15" ht="29.25" customHeight="1" x14ac:dyDescent="0.15">
      <c r="A28" s="152"/>
      <c r="B28" s="153"/>
      <c r="C28" s="160"/>
      <c r="D28" s="155"/>
      <c r="E28" s="155"/>
      <c r="F28" s="151"/>
      <c r="G28" s="115"/>
    </row>
    <row r="29" spans="1:15" ht="29.25" customHeight="1" x14ac:dyDescent="0.15">
      <c r="A29" s="152">
        <v>13</v>
      </c>
      <c r="B29" s="153">
        <f>IF(ISBLANK($A29), "", VLOOKUP($A29, 入力シート!$A$7:$J$1000, 3, FALSE))</f>
        <v>0</v>
      </c>
      <c r="C29" s="160">
        <f>IF(ISBLANK($A29), "", VLOOKUP($A29, 入力シート!$A$7:$J$1000, 4, FALSE))</f>
        <v>0</v>
      </c>
      <c r="D29" s="155">
        <f>IF(ISBLANK($A29), "", VLOOKUP($A29, 入力シート!$A$7:$J$1000, 6, FALSE))</f>
        <v>0</v>
      </c>
      <c r="E29" s="155">
        <f>IF(ISBLANK($A29), "", VLOOKUP($A29, 入力シート!$A$7:$J$1000, 7, FALSE))</f>
        <v>0</v>
      </c>
      <c r="F29" s="150">
        <f>IF(ISBLANK($A29), "", VLOOKUP($A29, 入力シート!$A$7:$J$1000, 9, FALSE))</f>
        <v>0</v>
      </c>
      <c r="G29" s="135">
        <f>IF(ISBLANK($A29), "", VLOOKUP($A29, 入力シート!$A$7:$J$1000, 8, FALSE))</f>
        <v>0</v>
      </c>
    </row>
    <row r="30" spans="1:15" ht="29.25" customHeight="1" x14ac:dyDescent="0.15">
      <c r="A30" s="152"/>
      <c r="B30" s="153"/>
      <c r="C30" s="160"/>
      <c r="D30" s="155"/>
      <c r="E30" s="155"/>
      <c r="F30" s="151"/>
      <c r="G30" s="115"/>
    </row>
    <row r="31" spans="1:15" ht="29.25" customHeight="1" x14ac:dyDescent="0.15">
      <c r="A31" s="152">
        <v>14</v>
      </c>
      <c r="B31" s="153">
        <f>IF(ISBLANK($A31), "", VLOOKUP($A31, 入力シート!$A$7:$J$1000, 3, FALSE))</f>
        <v>0</v>
      </c>
      <c r="C31" s="160">
        <f>IF(ISBLANK($A31), "", VLOOKUP($A31, 入力シート!$A$7:$J$1000, 4, FALSE))</f>
        <v>0</v>
      </c>
      <c r="D31" s="155">
        <f>IF(ISBLANK($A31), "", VLOOKUP($A31, 入力シート!$A$7:$J$1000, 6, FALSE))</f>
        <v>0</v>
      </c>
      <c r="E31" s="155">
        <f>IF(ISBLANK($A31), "", VLOOKUP($A31, 入力シート!$A$7:$J$1000, 7, FALSE))</f>
        <v>0</v>
      </c>
      <c r="F31" s="150">
        <f>IF(ISBLANK($A31), "", VLOOKUP($A31, 入力シート!$A$7:$J$1000, 9, FALSE))</f>
        <v>0</v>
      </c>
      <c r="G31" s="135">
        <f>IF(ISBLANK($A31), "", VLOOKUP($A31, 入力シート!$A$7:$J$1000, 8, FALSE))</f>
        <v>0</v>
      </c>
    </row>
    <row r="32" spans="1:15" ht="29.25" customHeight="1" x14ac:dyDescent="0.15">
      <c r="A32" s="152"/>
      <c r="B32" s="153"/>
      <c r="C32" s="160"/>
      <c r="D32" s="155"/>
      <c r="E32" s="155"/>
      <c r="F32" s="151"/>
      <c r="G32" s="115"/>
    </row>
  </sheetData>
  <mergeCells count="90">
    <mergeCell ref="F31:F32"/>
    <mergeCell ref="A29:A30"/>
    <mergeCell ref="B29:B30"/>
    <mergeCell ref="C29:C30"/>
    <mergeCell ref="D29:D30"/>
    <mergeCell ref="E29:E30"/>
    <mergeCell ref="F29:F30"/>
    <mergeCell ref="A31:A32"/>
    <mergeCell ref="B31:B32"/>
    <mergeCell ref="C31:C32"/>
    <mergeCell ref="D31:D32"/>
    <mergeCell ref="E31:E32"/>
    <mergeCell ref="F27:F28"/>
    <mergeCell ref="A25:A26"/>
    <mergeCell ref="B25:B26"/>
    <mergeCell ref="C25:C26"/>
    <mergeCell ref="D25:D26"/>
    <mergeCell ref="E25:E26"/>
    <mergeCell ref="F25:F26"/>
    <mergeCell ref="A27:A28"/>
    <mergeCell ref="B27:B28"/>
    <mergeCell ref="C27:C28"/>
    <mergeCell ref="D27:D28"/>
    <mergeCell ref="E27:E28"/>
    <mergeCell ref="F23:F24"/>
    <mergeCell ref="A21:A22"/>
    <mergeCell ref="B21:B22"/>
    <mergeCell ref="C21:C22"/>
    <mergeCell ref="D21:D22"/>
    <mergeCell ref="E21:E22"/>
    <mergeCell ref="F21:F22"/>
    <mergeCell ref="A23:A24"/>
    <mergeCell ref="B23:B24"/>
    <mergeCell ref="C23:C24"/>
    <mergeCell ref="D23:D24"/>
    <mergeCell ref="E23:E24"/>
    <mergeCell ref="F19:F20"/>
    <mergeCell ref="A17:A18"/>
    <mergeCell ref="B17:B18"/>
    <mergeCell ref="C17:C18"/>
    <mergeCell ref="D17:D18"/>
    <mergeCell ref="E17:E18"/>
    <mergeCell ref="F17:F18"/>
    <mergeCell ref="A19:A20"/>
    <mergeCell ref="B19:B20"/>
    <mergeCell ref="C19:C20"/>
    <mergeCell ref="D19:D20"/>
    <mergeCell ref="E19:E20"/>
    <mergeCell ref="F15:F16"/>
    <mergeCell ref="A13:A14"/>
    <mergeCell ref="B13:B14"/>
    <mergeCell ref="C13:C14"/>
    <mergeCell ref="D13:D14"/>
    <mergeCell ref="E13:E14"/>
    <mergeCell ref="F13:F14"/>
    <mergeCell ref="A15:A16"/>
    <mergeCell ref="B15:B16"/>
    <mergeCell ref="C15:C16"/>
    <mergeCell ref="D15:D16"/>
    <mergeCell ref="E15:E16"/>
    <mergeCell ref="F11:F12"/>
    <mergeCell ref="A9:A10"/>
    <mergeCell ref="B9:B10"/>
    <mergeCell ref="C9:C10"/>
    <mergeCell ref="D9:D10"/>
    <mergeCell ref="E9:E10"/>
    <mergeCell ref="F9:F10"/>
    <mergeCell ref="A11:A12"/>
    <mergeCell ref="B11:B12"/>
    <mergeCell ref="C11:C12"/>
    <mergeCell ref="D11:D12"/>
    <mergeCell ref="E11:E12"/>
    <mergeCell ref="F7:F8"/>
    <mergeCell ref="A5:A6"/>
    <mergeCell ref="B5:B6"/>
    <mergeCell ref="C5:C6"/>
    <mergeCell ref="D5:D6"/>
    <mergeCell ref="E5:E6"/>
    <mergeCell ref="F5:F6"/>
    <mergeCell ref="A7:A8"/>
    <mergeCell ref="B7:B8"/>
    <mergeCell ref="C7:C8"/>
    <mergeCell ref="D7:D8"/>
    <mergeCell ref="E7:E8"/>
    <mergeCell ref="B1:G1"/>
    <mergeCell ref="B3:B4"/>
    <mergeCell ref="C3:C4"/>
    <mergeCell ref="D3:D4"/>
    <mergeCell ref="E3:E4"/>
    <mergeCell ref="F3:F4"/>
  </mergeCells>
  <phoneticPr fontId="2"/>
  <printOptions horizontalCentered="1"/>
  <pageMargins left="0.59055118110236227" right="0.31" top="0.98425196850393704" bottom="0.7" header="0.51181102362204722" footer="0.51181102362204722"/>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FFB46-5440-480A-80CA-7E6C5BE75D7D}">
  <dimension ref="A1:H32"/>
  <sheetViews>
    <sheetView showZeros="0" zoomScaleNormal="100" workbookViewId="0">
      <selection activeCell="B5" sqref="B5"/>
    </sheetView>
  </sheetViews>
  <sheetFormatPr defaultRowHeight="13.5" x14ac:dyDescent="0.15"/>
  <cols>
    <col min="1" max="1" width="9" style="106"/>
    <col min="2" max="2" width="18.625" style="106" customWidth="1"/>
    <col min="3" max="5" width="7.625" style="106" customWidth="1"/>
    <col min="6" max="6" width="20.625" style="106" customWidth="1"/>
    <col min="7" max="7" width="23.125" style="106" customWidth="1"/>
    <col min="8" max="8" width="9" style="106" customWidth="1"/>
    <col min="9" max="16384" width="9" style="106"/>
  </cols>
  <sheetData>
    <row r="1" spans="1:8" ht="34.5" customHeight="1" x14ac:dyDescent="0.15">
      <c r="B1" s="147" t="s">
        <v>141</v>
      </c>
      <c r="C1" s="147"/>
      <c r="D1" s="147"/>
      <c r="E1" s="147"/>
      <c r="F1" s="147"/>
      <c r="G1" s="147"/>
      <c r="H1" s="168"/>
    </row>
    <row r="2" spans="1:8" ht="33" customHeight="1" x14ac:dyDescent="0.15">
      <c r="F2" s="109"/>
      <c r="G2" s="109"/>
    </row>
    <row r="3" spans="1:8" ht="27.75" customHeight="1" x14ac:dyDescent="0.15">
      <c r="B3" s="169" t="s">
        <v>142</v>
      </c>
      <c r="C3" s="170" t="s">
        <v>3</v>
      </c>
      <c r="D3" s="170" t="s">
        <v>143</v>
      </c>
      <c r="E3" s="171" t="s">
        <v>126</v>
      </c>
      <c r="F3" s="170" t="s">
        <v>144</v>
      </c>
      <c r="G3" s="124" t="s">
        <v>145</v>
      </c>
      <c r="H3" s="170" t="s">
        <v>16</v>
      </c>
    </row>
    <row r="4" spans="1:8" ht="27.75" customHeight="1" x14ac:dyDescent="0.15">
      <c r="B4" s="170"/>
      <c r="C4" s="170"/>
      <c r="D4" s="170"/>
      <c r="E4" s="171"/>
      <c r="F4" s="170"/>
      <c r="G4" s="124" t="s">
        <v>130</v>
      </c>
      <c r="H4" s="172"/>
    </row>
    <row r="5" spans="1:8" ht="29.25" customHeight="1" x14ac:dyDescent="0.15">
      <c r="A5" s="152">
        <v>1</v>
      </c>
      <c r="B5" s="126" t="e">
        <f>IF(ISBLANK($A5), "", VLOOKUP($A5, 入力シート!$A$7:$J$1000, 3, FALSE))</f>
        <v>#REF!</v>
      </c>
      <c r="C5" s="155" t="e">
        <f>IF(ISBLANK($A5), "", VLOOKUP($A5, 入力シート!$A$7:$J$1000, 6, FALSE))</f>
        <v>#REF!</v>
      </c>
      <c r="D5" s="155" t="e">
        <f>IF(ISBLANK($A5), "", VLOOKUP($A5, 入力シート!$A$7:$J$1000, 7, FALSE))</f>
        <v>#REF!</v>
      </c>
      <c r="E5" s="156" t="e">
        <f>IF(ISBLANK($A5), "", VLOOKUP($A5, 入力シート!$A$7:$J$1000, 10, FALSE))</f>
        <v>#REF!</v>
      </c>
      <c r="F5" s="150" t="e">
        <f>IF(ISBLANK($A5), "", VLOOKUP($A5, 入力シート!$A$7:$J$1000, 9, FALSE))</f>
        <v>#REF!</v>
      </c>
      <c r="G5" s="135" t="e">
        <f>IF(ISBLANK($A5), "", VLOOKUP($A5, 入力シート!$A$7:$J$1000, 8, FALSE))</f>
        <v>#REF!</v>
      </c>
      <c r="H5" s="173"/>
    </row>
    <row r="6" spans="1:8" ht="29.25" customHeight="1" x14ac:dyDescent="0.15">
      <c r="A6" s="152"/>
      <c r="B6" s="127" t="e">
        <f>IF(ISBLANK($A5), "", VLOOKUP($A5, 入力シート!$A$7:$J$1000, 4, FALSE))</f>
        <v>#REF!</v>
      </c>
      <c r="C6" s="155"/>
      <c r="D6" s="155"/>
      <c r="E6" s="156"/>
      <c r="F6" s="151"/>
      <c r="G6" s="115"/>
      <c r="H6" s="174"/>
    </row>
    <row r="7" spans="1:8" ht="29.25" customHeight="1" x14ac:dyDescent="0.15">
      <c r="A7" s="152">
        <v>2</v>
      </c>
      <c r="B7" s="126" t="e">
        <f>IF(ISBLANK($A7), "", VLOOKUP($A7, 入力シート!$A$7:$J$1000, 3, FALSE))</f>
        <v>#REF!</v>
      </c>
      <c r="C7" s="155" t="e">
        <f>IF(ISBLANK($A7), "", VLOOKUP($A7, 入力シート!$A$7:$J$1000, 6, FALSE))</f>
        <v>#REF!</v>
      </c>
      <c r="D7" s="155" t="e">
        <f>IF(ISBLANK($A7), "", VLOOKUP($A7, 入力シート!$A$7:$J$1000, 7, FALSE))</f>
        <v>#REF!</v>
      </c>
      <c r="E7" s="156" t="e">
        <f>IF(ISBLANK($A7), "", VLOOKUP($A7, 入力シート!$A$7:$J$1000, 10, FALSE))</f>
        <v>#REF!</v>
      </c>
      <c r="F7" s="150" t="e">
        <f>IF(ISBLANK($A7), "", VLOOKUP($A7, 入力シート!$A$7:$J$1000, 9, FALSE))</f>
        <v>#REF!</v>
      </c>
      <c r="G7" s="135" t="e">
        <f>IF(ISBLANK($A7), "", VLOOKUP($A7, 入力シート!$A$7:$J$1000, 8, FALSE))</f>
        <v>#REF!</v>
      </c>
      <c r="H7" s="173"/>
    </row>
    <row r="8" spans="1:8" ht="29.25" customHeight="1" x14ac:dyDescent="0.15">
      <c r="A8" s="152"/>
      <c r="B8" s="127" t="e">
        <f>IF(ISBLANK($A7), "", VLOOKUP($A7, 入力シート!$A$7:$J$1000, 4, FALSE))</f>
        <v>#REF!</v>
      </c>
      <c r="C8" s="155"/>
      <c r="D8" s="155"/>
      <c r="E8" s="156"/>
      <c r="F8" s="151"/>
      <c r="G8" s="115"/>
      <c r="H8" s="174"/>
    </row>
    <row r="9" spans="1:8" ht="29.25" customHeight="1" x14ac:dyDescent="0.15">
      <c r="A9" s="152">
        <v>3</v>
      </c>
      <c r="B9" s="126" t="e">
        <f>IF(ISBLANK($A9), "", VLOOKUP($A9, 入力シート!$A$7:$J$1000, 3, FALSE))</f>
        <v>#REF!</v>
      </c>
      <c r="C9" s="155" t="e">
        <f>IF(ISBLANK($A9), "", VLOOKUP($A9, 入力シート!$A$7:$J$1000, 6, FALSE))</f>
        <v>#REF!</v>
      </c>
      <c r="D9" s="155" t="e">
        <f>IF(ISBLANK($A9), "", VLOOKUP($A9, 入力シート!$A$7:$J$1000, 7, FALSE))</f>
        <v>#REF!</v>
      </c>
      <c r="E9" s="156" t="e">
        <f>IF(ISBLANK($A9), "", VLOOKUP($A9, 入力シート!$A$7:$J$1000, 10, FALSE))</f>
        <v>#REF!</v>
      </c>
      <c r="F9" s="150" t="e">
        <f>IF(ISBLANK($A9), "", VLOOKUP($A9, 入力シート!$A$7:$J$1000, 9, FALSE))</f>
        <v>#REF!</v>
      </c>
      <c r="G9" s="135" t="e">
        <f>IF(ISBLANK($A9), "", VLOOKUP($A9, 入力シート!$A$7:$J$1000, 8, FALSE))</f>
        <v>#REF!</v>
      </c>
      <c r="H9" s="173"/>
    </row>
    <row r="10" spans="1:8" ht="29.25" customHeight="1" x14ac:dyDescent="0.15">
      <c r="A10" s="152"/>
      <c r="B10" s="127" t="e">
        <f>IF(ISBLANK($A9), "", VLOOKUP($A9, 入力シート!$A$7:$J$1000, 4, FALSE))</f>
        <v>#REF!</v>
      </c>
      <c r="C10" s="155"/>
      <c r="D10" s="155"/>
      <c r="E10" s="156"/>
      <c r="F10" s="151"/>
      <c r="G10" s="115"/>
      <c r="H10" s="174"/>
    </row>
    <row r="11" spans="1:8" ht="29.25" customHeight="1" x14ac:dyDescent="0.15">
      <c r="A11" s="152">
        <v>4</v>
      </c>
      <c r="B11" s="126" t="e">
        <f>IF(ISBLANK($A11), "", VLOOKUP($A11, 入力シート!$A$7:$J$1000, 3, FALSE))</f>
        <v>#REF!</v>
      </c>
      <c r="C11" s="155" t="e">
        <f>IF(ISBLANK($A11), "", VLOOKUP($A11, 入力シート!$A$7:$J$1000, 6, FALSE))</f>
        <v>#REF!</v>
      </c>
      <c r="D11" s="155" t="e">
        <f>IF(ISBLANK($A11), "", VLOOKUP($A11, 入力シート!$A$7:$J$1000, 7, FALSE))</f>
        <v>#REF!</v>
      </c>
      <c r="E11" s="156" t="e">
        <f>IF(ISBLANK($A11), "", VLOOKUP($A11, 入力シート!$A$7:$J$1000, 10, FALSE))</f>
        <v>#REF!</v>
      </c>
      <c r="F11" s="150" t="e">
        <f>IF(ISBLANK($A11), "", VLOOKUP($A11, 入力シート!$A$7:$J$1000, 9, FALSE))</f>
        <v>#REF!</v>
      </c>
      <c r="G11" s="135" t="e">
        <f>IF(ISBLANK($A11), "", VLOOKUP($A11, 入力シート!$A$7:$J$1000, 8, FALSE))</f>
        <v>#REF!</v>
      </c>
      <c r="H11" s="173"/>
    </row>
    <row r="12" spans="1:8" ht="29.25" customHeight="1" x14ac:dyDescent="0.15">
      <c r="A12" s="152"/>
      <c r="B12" s="127" t="e">
        <f>IF(ISBLANK($A11), "", VLOOKUP($A11, 入力シート!$A$7:$J$1000, 4, FALSE))</f>
        <v>#REF!</v>
      </c>
      <c r="C12" s="155"/>
      <c r="D12" s="155"/>
      <c r="E12" s="156"/>
      <c r="F12" s="151"/>
      <c r="G12" s="115"/>
      <c r="H12" s="174"/>
    </row>
    <row r="13" spans="1:8" ht="29.25" customHeight="1" x14ac:dyDescent="0.15">
      <c r="A13" s="152">
        <v>5</v>
      </c>
      <c r="B13" s="126" t="e">
        <f>IF(ISBLANK($A13), "", VLOOKUP($A13, 入力シート!$A$7:$J$1000, 3, FALSE))</f>
        <v>#REF!</v>
      </c>
      <c r="C13" s="155" t="e">
        <f>IF(ISBLANK($A13), "", VLOOKUP($A13, 入力シート!$A$7:$J$1000, 6, FALSE))</f>
        <v>#REF!</v>
      </c>
      <c r="D13" s="155" t="e">
        <f>IF(ISBLANK($A13), "", VLOOKUP($A13, 入力シート!$A$7:$J$1000, 7, FALSE))</f>
        <v>#REF!</v>
      </c>
      <c r="E13" s="156" t="e">
        <f>IF(ISBLANK($A13), "", VLOOKUP($A13, 入力シート!$A$7:$J$1000, 10, FALSE))</f>
        <v>#REF!</v>
      </c>
      <c r="F13" s="150" t="e">
        <f>IF(ISBLANK($A13), "", VLOOKUP($A13, 入力シート!$A$7:$J$1000, 9, FALSE))</f>
        <v>#REF!</v>
      </c>
      <c r="G13" s="135" t="e">
        <f>IF(ISBLANK($A13), "", VLOOKUP($A13, 入力シート!$A$7:$J$1000, 8, FALSE))</f>
        <v>#REF!</v>
      </c>
      <c r="H13" s="173"/>
    </row>
    <row r="14" spans="1:8" ht="29.25" customHeight="1" x14ac:dyDescent="0.15">
      <c r="A14" s="152"/>
      <c r="B14" s="127" t="e">
        <f>IF(ISBLANK($A13), "", VLOOKUP($A13, 入力シート!$A$7:$J$1000, 4, FALSE))</f>
        <v>#REF!</v>
      </c>
      <c r="C14" s="155"/>
      <c r="D14" s="155"/>
      <c r="E14" s="156"/>
      <c r="F14" s="151"/>
      <c r="G14" s="115"/>
      <c r="H14" s="174"/>
    </row>
    <row r="15" spans="1:8" ht="29.25" customHeight="1" x14ac:dyDescent="0.15">
      <c r="A15" s="152">
        <v>6</v>
      </c>
      <c r="B15" s="126" t="e">
        <f>IF(ISBLANK($A15), "", VLOOKUP($A15, 入力シート!$A$7:$J$1000, 3, FALSE))</f>
        <v>#REF!</v>
      </c>
      <c r="C15" s="155" t="e">
        <f>IF(ISBLANK($A15), "", VLOOKUP($A15, 入力シート!$A$7:$J$1000, 6, FALSE))</f>
        <v>#REF!</v>
      </c>
      <c r="D15" s="155" t="e">
        <f>IF(ISBLANK($A15), "", VLOOKUP($A15, 入力シート!$A$7:$J$1000, 7, FALSE))</f>
        <v>#REF!</v>
      </c>
      <c r="E15" s="156" t="e">
        <f>IF(ISBLANK($A15), "", VLOOKUP($A15, 入力シート!$A$7:$J$1000, 10, FALSE))</f>
        <v>#REF!</v>
      </c>
      <c r="F15" s="150" t="e">
        <f>IF(ISBLANK($A15), "", VLOOKUP($A15, 入力シート!$A$7:$J$1000, 9, FALSE))</f>
        <v>#REF!</v>
      </c>
      <c r="G15" s="135" t="e">
        <f>IF(ISBLANK($A15), "", VLOOKUP($A15, 入力シート!$A$7:$J$1000, 8, FALSE))</f>
        <v>#REF!</v>
      </c>
      <c r="H15" s="173"/>
    </row>
    <row r="16" spans="1:8" ht="29.25" customHeight="1" x14ac:dyDescent="0.15">
      <c r="A16" s="152"/>
      <c r="B16" s="127" t="e">
        <f>IF(ISBLANK($A15), "", VLOOKUP($A15, 入力シート!$A$7:$J$1000, 4, FALSE))</f>
        <v>#REF!</v>
      </c>
      <c r="C16" s="155"/>
      <c r="D16" s="155"/>
      <c r="E16" s="156"/>
      <c r="F16" s="151"/>
      <c r="G16" s="115"/>
      <c r="H16" s="174"/>
    </row>
    <row r="17" spans="1:8" ht="29.25" customHeight="1" x14ac:dyDescent="0.15">
      <c r="A17" s="152">
        <v>7</v>
      </c>
      <c r="B17" s="126">
        <f>IF(ISBLANK($A17), "", VLOOKUP($A17, 入力シート!$A$7:$J$1000, 3, FALSE))</f>
        <v>0</v>
      </c>
      <c r="C17" s="155">
        <f>IF(ISBLANK($A17), "", VLOOKUP($A17, 入力シート!$A$7:$J$1000, 6, FALSE))</f>
        <v>0</v>
      </c>
      <c r="D17" s="155">
        <f>IF(ISBLANK($A17), "", VLOOKUP($A17, 入力シート!$A$7:$J$1000, 7, FALSE))</f>
        <v>0</v>
      </c>
      <c r="E17" s="156">
        <f>IF(ISBLANK($A17), "", VLOOKUP($A17, 入力シート!$A$7:$J$1000, 10, FALSE))</f>
        <v>0</v>
      </c>
      <c r="F17" s="150">
        <f>IF(ISBLANK($A17), "", VLOOKUP($A17, 入力シート!$A$7:$J$1000, 9, FALSE))</f>
        <v>0</v>
      </c>
      <c r="G17" s="135">
        <f>IF(ISBLANK($A17), "", VLOOKUP($A17, 入力シート!$A$7:$J$1000, 8, FALSE))</f>
        <v>0</v>
      </c>
      <c r="H17" s="173"/>
    </row>
    <row r="18" spans="1:8" ht="29.25" customHeight="1" x14ac:dyDescent="0.15">
      <c r="A18" s="152"/>
      <c r="B18" s="127">
        <f>IF(ISBLANK($A17), "", VLOOKUP($A17, 入力シート!$A$7:$J$1000, 4, FALSE))</f>
        <v>0</v>
      </c>
      <c r="C18" s="155"/>
      <c r="D18" s="155"/>
      <c r="E18" s="156"/>
      <c r="F18" s="151"/>
      <c r="G18" s="115"/>
      <c r="H18" s="174"/>
    </row>
    <row r="19" spans="1:8" ht="29.25" customHeight="1" x14ac:dyDescent="0.15">
      <c r="A19" s="152">
        <v>8</v>
      </c>
      <c r="B19" s="126">
        <f>IF(ISBLANK($A19), "", VLOOKUP($A19, 入力シート!$A$7:$J$1000, 3, FALSE))</f>
        <v>0</v>
      </c>
      <c r="C19" s="155">
        <f>IF(ISBLANK($A19), "", VLOOKUP($A19, 入力シート!$A$7:$J$1000, 6, FALSE))</f>
        <v>0</v>
      </c>
      <c r="D19" s="155">
        <f>IF(ISBLANK($A19), "", VLOOKUP($A19, 入力シート!$A$7:$J$1000, 7, FALSE))</f>
        <v>0</v>
      </c>
      <c r="E19" s="156">
        <f>IF(ISBLANK($A19), "", VLOOKUP($A19, 入力シート!$A$7:$J$1000, 10, FALSE))</f>
        <v>0</v>
      </c>
      <c r="F19" s="150">
        <f>IF(ISBLANK($A19), "", VLOOKUP($A19, 入力シート!$A$7:$J$1000, 9, FALSE))</f>
        <v>0</v>
      </c>
      <c r="G19" s="135">
        <f>IF(ISBLANK($A19), "", VLOOKUP($A19, 入力シート!$A$7:$J$1000, 8, FALSE))</f>
        <v>0</v>
      </c>
      <c r="H19" s="173"/>
    </row>
    <row r="20" spans="1:8" ht="29.25" customHeight="1" x14ac:dyDescent="0.15">
      <c r="A20" s="152"/>
      <c r="B20" s="127">
        <f>IF(ISBLANK($A19), "", VLOOKUP($A19, 入力シート!$A$7:$J$1000, 4, FALSE))</f>
        <v>0</v>
      </c>
      <c r="C20" s="155"/>
      <c r="D20" s="155"/>
      <c r="E20" s="156"/>
      <c r="F20" s="151"/>
      <c r="G20" s="115"/>
      <c r="H20" s="174"/>
    </row>
    <row r="21" spans="1:8" ht="29.25" customHeight="1" x14ac:dyDescent="0.15">
      <c r="A21" s="152">
        <v>9</v>
      </c>
      <c r="B21" s="126">
        <f>IF(ISBLANK($A21), "", VLOOKUP($A21, 入力シート!$A$7:$J$1000, 3, FALSE))</f>
        <v>0</v>
      </c>
      <c r="C21" s="155">
        <f>IF(ISBLANK($A21), "", VLOOKUP($A21, 入力シート!$A$7:$J$1000, 6, FALSE))</f>
        <v>0</v>
      </c>
      <c r="D21" s="155">
        <f>IF(ISBLANK($A21), "", VLOOKUP($A21, 入力シート!$A$7:$J$1000, 7, FALSE))</f>
        <v>0</v>
      </c>
      <c r="E21" s="156">
        <f>IF(ISBLANK($A21), "", VLOOKUP($A21, 入力シート!$A$7:$J$1000, 10, FALSE))</f>
        <v>0</v>
      </c>
      <c r="F21" s="150">
        <f>IF(ISBLANK($A21), "", VLOOKUP($A21, 入力シート!$A$7:$J$1000, 9, FALSE))</f>
        <v>0</v>
      </c>
      <c r="G21" s="135">
        <f>IF(ISBLANK($A21), "", VLOOKUP($A21, 入力シート!$A$7:$J$1000, 8, FALSE))</f>
        <v>0</v>
      </c>
      <c r="H21" s="173"/>
    </row>
    <row r="22" spans="1:8" ht="29.25" customHeight="1" x14ac:dyDescent="0.15">
      <c r="A22" s="152"/>
      <c r="B22" s="127">
        <f>IF(ISBLANK($A21), "", VLOOKUP($A21, 入力シート!$A$7:$J$1000, 4, FALSE))</f>
        <v>0</v>
      </c>
      <c r="C22" s="155"/>
      <c r="D22" s="155"/>
      <c r="E22" s="156"/>
      <c r="F22" s="151"/>
      <c r="G22" s="115"/>
      <c r="H22" s="174"/>
    </row>
    <row r="23" spans="1:8" ht="29.25" customHeight="1" x14ac:dyDescent="0.15">
      <c r="A23" s="152">
        <v>10</v>
      </c>
      <c r="B23" s="126">
        <f>IF(ISBLANK($A23), "", VLOOKUP($A23, 入力シート!$A$7:$J$1000, 3, FALSE))</f>
        <v>0</v>
      </c>
      <c r="C23" s="155">
        <f>IF(ISBLANK($A23), "", VLOOKUP($A23, 入力シート!$A$7:$J$1000, 6, FALSE))</f>
        <v>0</v>
      </c>
      <c r="D23" s="155">
        <f>IF(ISBLANK($A23), "", VLOOKUP($A23, 入力シート!$A$7:$J$1000, 7, FALSE))</f>
        <v>0</v>
      </c>
      <c r="E23" s="156">
        <f>IF(ISBLANK($A23), "", VLOOKUP($A23, 入力シート!$A$7:$J$1000, 10, FALSE))</f>
        <v>0</v>
      </c>
      <c r="F23" s="150">
        <f>IF(ISBLANK($A23), "", VLOOKUP($A23, 入力シート!$A$7:$J$1000, 9, FALSE))</f>
        <v>0</v>
      </c>
      <c r="G23" s="135">
        <f>IF(ISBLANK($A23), "", VLOOKUP($A23, 入力シート!$A$7:$J$1000, 8, FALSE))</f>
        <v>0</v>
      </c>
      <c r="H23" s="173"/>
    </row>
    <row r="24" spans="1:8" ht="29.25" customHeight="1" x14ac:dyDescent="0.15">
      <c r="A24" s="152"/>
      <c r="B24" s="127">
        <f>IF(ISBLANK($A23), "", VLOOKUP($A23, 入力シート!$A$7:$J$1000, 4, FALSE))</f>
        <v>0</v>
      </c>
      <c r="C24" s="155"/>
      <c r="D24" s="155"/>
      <c r="E24" s="156"/>
      <c r="F24" s="151"/>
      <c r="G24" s="115"/>
      <c r="H24" s="174"/>
    </row>
    <row r="25" spans="1:8" ht="29.25" customHeight="1" x14ac:dyDescent="0.15">
      <c r="A25" s="152">
        <v>11</v>
      </c>
      <c r="B25" s="126">
        <f>IF(ISBLANK($A25), "", VLOOKUP($A25, 入力シート!$A$7:$J$1000, 3, FALSE))</f>
        <v>0</v>
      </c>
      <c r="C25" s="155">
        <f>IF(ISBLANK($A25), "", VLOOKUP($A25, 入力シート!$A$7:$J$1000, 6, FALSE))</f>
        <v>0</v>
      </c>
      <c r="D25" s="155">
        <f>IF(ISBLANK($A25), "", VLOOKUP($A25, 入力シート!$A$7:$J$1000, 7, FALSE))</f>
        <v>0</v>
      </c>
      <c r="E25" s="156">
        <f>IF(ISBLANK($A25), "", VLOOKUP($A25, 入力シート!$A$7:$J$1000, 10, FALSE))</f>
        <v>0</v>
      </c>
      <c r="F25" s="150">
        <f>IF(ISBLANK($A25), "", VLOOKUP($A25, 入力シート!$A$7:$J$1000, 9, FALSE))</f>
        <v>0</v>
      </c>
      <c r="G25" s="135">
        <f>IF(ISBLANK($A25), "", VLOOKUP($A25, 入力シート!$A$7:$J$1000, 8, FALSE))</f>
        <v>0</v>
      </c>
      <c r="H25" s="173"/>
    </row>
    <row r="26" spans="1:8" ht="29.25" customHeight="1" x14ac:dyDescent="0.15">
      <c r="A26" s="152"/>
      <c r="B26" s="127">
        <f>IF(ISBLANK($A25), "", VLOOKUP($A25, 入力シート!$A$7:$J$1000, 4, FALSE))</f>
        <v>0</v>
      </c>
      <c r="C26" s="155"/>
      <c r="D26" s="155"/>
      <c r="E26" s="156"/>
      <c r="F26" s="151"/>
      <c r="G26" s="115"/>
      <c r="H26" s="174"/>
    </row>
    <row r="27" spans="1:8" ht="29.25" customHeight="1" x14ac:dyDescent="0.15">
      <c r="A27" s="152">
        <v>12</v>
      </c>
      <c r="B27" s="126">
        <f>IF(ISBLANK($A27), "", VLOOKUP($A27, 入力シート!$A$7:$J$1000, 3, FALSE))</f>
        <v>0</v>
      </c>
      <c r="C27" s="155">
        <f>IF(ISBLANK($A27), "", VLOOKUP($A27, 入力シート!$A$7:$J$1000, 6, FALSE))</f>
        <v>0</v>
      </c>
      <c r="D27" s="155">
        <f>IF(ISBLANK($A27), "", VLOOKUP($A27, 入力シート!$A$7:$J$1000, 7, FALSE))</f>
        <v>0</v>
      </c>
      <c r="E27" s="156">
        <f>IF(ISBLANK($A27), "", VLOOKUP($A27, 入力シート!$A$7:$J$1000, 10, FALSE))</f>
        <v>0</v>
      </c>
      <c r="F27" s="150">
        <f>IF(ISBLANK($A27), "", VLOOKUP($A27, 入力シート!$A$7:$J$1000, 9, FALSE))</f>
        <v>0</v>
      </c>
      <c r="G27" s="135">
        <f>IF(ISBLANK($A27), "", VLOOKUP($A27, 入力シート!$A$7:$J$1000, 8, FALSE))</f>
        <v>0</v>
      </c>
      <c r="H27" s="173"/>
    </row>
    <row r="28" spans="1:8" ht="29.25" customHeight="1" x14ac:dyDescent="0.15">
      <c r="A28" s="152"/>
      <c r="B28" s="127">
        <f>IF(ISBLANK($A27), "", VLOOKUP($A27, 入力シート!$A$7:$J$1000, 4, FALSE))</f>
        <v>0</v>
      </c>
      <c r="C28" s="155"/>
      <c r="D28" s="155"/>
      <c r="E28" s="156"/>
      <c r="F28" s="151"/>
      <c r="G28" s="115"/>
      <c r="H28" s="174"/>
    </row>
    <row r="29" spans="1:8" ht="29.25" customHeight="1" x14ac:dyDescent="0.15">
      <c r="A29" s="152">
        <v>13</v>
      </c>
      <c r="B29" s="126">
        <f>IF(ISBLANK($A29), "", VLOOKUP($A29, 入力シート!$A$7:$J$1000, 3, FALSE))</f>
        <v>0</v>
      </c>
      <c r="C29" s="155">
        <f>IF(ISBLANK($A29), "", VLOOKUP($A29, 入力シート!$A$7:$J$1000, 6, FALSE))</f>
        <v>0</v>
      </c>
      <c r="D29" s="155">
        <f>IF(ISBLANK($A29), "", VLOOKUP($A29, 入力シート!$A$7:$J$1000, 7, FALSE))</f>
        <v>0</v>
      </c>
      <c r="E29" s="156">
        <f>IF(ISBLANK($A29), "", VLOOKUP($A29, 入力シート!$A$7:$J$1000, 10, FALSE))</f>
        <v>0</v>
      </c>
      <c r="F29" s="150">
        <f>IF(ISBLANK($A29), "", VLOOKUP($A29, 入力シート!$A$7:$J$1000, 9, FALSE))</f>
        <v>0</v>
      </c>
      <c r="G29" s="135">
        <f>IF(ISBLANK($A29), "", VLOOKUP($A29, 入力シート!$A$7:$J$1000, 8, FALSE))</f>
        <v>0</v>
      </c>
      <c r="H29" s="173"/>
    </row>
    <row r="30" spans="1:8" ht="29.25" customHeight="1" x14ac:dyDescent="0.15">
      <c r="A30" s="152"/>
      <c r="B30" s="127">
        <f>IF(ISBLANK($A29), "", VLOOKUP($A29, 入力シート!$A$7:$J$1000, 4, FALSE))</f>
        <v>0</v>
      </c>
      <c r="C30" s="155"/>
      <c r="D30" s="155"/>
      <c r="E30" s="156"/>
      <c r="F30" s="151"/>
      <c r="G30" s="115"/>
      <c r="H30" s="174"/>
    </row>
    <row r="31" spans="1:8" ht="29.25" customHeight="1" x14ac:dyDescent="0.15">
      <c r="A31" s="152">
        <v>14</v>
      </c>
      <c r="B31" s="126">
        <f>IF(ISBLANK($A31), "", VLOOKUP($A31, 入力シート!$A$7:$J$1000, 3, FALSE))</f>
        <v>0</v>
      </c>
      <c r="C31" s="155">
        <f>IF(ISBLANK($A31), "", VLOOKUP($A31, 入力シート!$A$7:$J$1000, 6, FALSE))</f>
        <v>0</v>
      </c>
      <c r="D31" s="155">
        <f>IF(ISBLANK($A31), "", VLOOKUP($A31, 入力シート!$A$7:$J$1000, 7, FALSE))</f>
        <v>0</v>
      </c>
      <c r="E31" s="156">
        <f>IF(ISBLANK($A31), "", VLOOKUP($A31, 入力シート!$A$7:$J$1000, 10, FALSE))</f>
        <v>0</v>
      </c>
      <c r="F31" s="150">
        <f>IF(ISBLANK($A31), "", VLOOKUP($A31, 入力シート!$A$7:$J$1000, 9, FALSE))</f>
        <v>0</v>
      </c>
      <c r="G31" s="135">
        <f>IF(ISBLANK($A31), "", VLOOKUP($A31, 入力シート!$A$7:$J$1000, 8, FALSE))</f>
        <v>0</v>
      </c>
      <c r="H31" s="173"/>
    </row>
    <row r="32" spans="1:8" ht="29.25" customHeight="1" x14ac:dyDescent="0.15">
      <c r="A32" s="152"/>
      <c r="B32" s="127">
        <f>IF(ISBLANK($A31), "", VLOOKUP($A31, 入力シート!$A$7:$J$1000, 4, FALSE))</f>
        <v>0</v>
      </c>
      <c r="C32" s="155"/>
      <c r="D32" s="155"/>
      <c r="E32" s="156"/>
      <c r="F32" s="151"/>
      <c r="G32" s="115"/>
      <c r="H32" s="174"/>
    </row>
  </sheetData>
  <mergeCells count="91">
    <mergeCell ref="H31:H32"/>
    <mergeCell ref="A29:A30"/>
    <mergeCell ref="C29:C30"/>
    <mergeCell ref="D29:D30"/>
    <mergeCell ref="E29:E30"/>
    <mergeCell ref="F29:F30"/>
    <mergeCell ref="H29:H30"/>
    <mergeCell ref="A31:A32"/>
    <mergeCell ref="C31:C32"/>
    <mergeCell ref="D31:D32"/>
    <mergeCell ref="E31:E32"/>
    <mergeCell ref="F31:F32"/>
    <mergeCell ref="H27:H28"/>
    <mergeCell ref="A25:A26"/>
    <mergeCell ref="C25:C26"/>
    <mergeCell ref="D25:D26"/>
    <mergeCell ref="E25:E26"/>
    <mergeCell ref="F25:F26"/>
    <mergeCell ref="H25:H26"/>
    <mergeCell ref="A27:A28"/>
    <mergeCell ref="C27:C28"/>
    <mergeCell ref="D27:D28"/>
    <mergeCell ref="E27:E28"/>
    <mergeCell ref="F27:F28"/>
    <mergeCell ref="H23:H24"/>
    <mergeCell ref="A21:A22"/>
    <mergeCell ref="C21:C22"/>
    <mergeCell ref="D21:D22"/>
    <mergeCell ref="E21:E22"/>
    <mergeCell ref="F21:F22"/>
    <mergeCell ref="H21:H22"/>
    <mergeCell ref="A23:A24"/>
    <mergeCell ref="C23:C24"/>
    <mergeCell ref="D23:D24"/>
    <mergeCell ref="E23:E24"/>
    <mergeCell ref="F23:F24"/>
    <mergeCell ref="H19:H20"/>
    <mergeCell ref="A17:A18"/>
    <mergeCell ref="C17:C18"/>
    <mergeCell ref="D17:D18"/>
    <mergeCell ref="E17:E18"/>
    <mergeCell ref="F17:F18"/>
    <mergeCell ref="H17:H18"/>
    <mergeCell ref="A19:A20"/>
    <mergeCell ref="C19:C20"/>
    <mergeCell ref="D19:D20"/>
    <mergeCell ref="E19:E20"/>
    <mergeCell ref="F19:F20"/>
    <mergeCell ref="H15:H16"/>
    <mergeCell ref="A13:A14"/>
    <mergeCell ref="C13:C14"/>
    <mergeCell ref="D13:D14"/>
    <mergeCell ref="E13:E14"/>
    <mergeCell ref="F13:F14"/>
    <mergeCell ref="H13:H14"/>
    <mergeCell ref="A15:A16"/>
    <mergeCell ref="C15:C16"/>
    <mergeCell ref="D15:D16"/>
    <mergeCell ref="E15:E16"/>
    <mergeCell ref="F15:F16"/>
    <mergeCell ref="H11:H12"/>
    <mergeCell ref="A9:A10"/>
    <mergeCell ref="C9:C10"/>
    <mergeCell ref="D9:D10"/>
    <mergeCell ref="E9:E10"/>
    <mergeCell ref="F9:F10"/>
    <mergeCell ref="H9:H10"/>
    <mergeCell ref="A11:A12"/>
    <mergeCell ref="C11:C12"/>
    <mergeCell ref="D11:D12"/>
    <mergeCell ref="E11:E12"/>
    <mergeCell ref="F11:F12"/>
    <mergeCell ref="H7:H8"/>
    <mergeCell ref="A5:A6"/>
    <mergeCell ref="C5:C6"/>
    <mergeCell ref="D5:D6"/>
    <mergeCell ref="E5:E6"/>
    <mergeCell ref="F5:F6"/>
    <mergeCell ref="H5:H6"/>
    <mergeCell ref="A7:A8"/>
    <mergeCell ref="C7:C8"/>
    <mergeCell ref="D7:D8"/>
    <mergeCell ref="E7:E8"/>
    <mergeCell ref="F7:F8"/>
    <mergeCell ref="B1:H1"/>
    <mergeCell ref="B3:B4"/>
    <mergeCell ref="C3:C4"/>
    <mergeCell ref="D3:D4"/>
    <mergeCell ref="E3:E4"/>
    <mergeCell ref="F3:F4"/>
    <mergeCell ref="H3:H4"/>
  </mergeCells>
  <phoneticPr fontId="2"/>
  <printOptions horizontalCentered="1"/>
  <pageMargins left="0.59055118110236227" right="0.31" top="0.98425196850393704" bottom="0.7" header="0.51181102362204722" footer="0.51181102362204722"/>
  <pageSetup paperSize="9" orientation="portrait"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8909-805E-4B81-9517-B5C1E58053D6}">
  <dimension ref="A1:N32"/>
  <sheetViews>
    <sheetView showZeros="0" topLeftCell="A11" workbookViewId="0">
      <selection activeCell="B17" sqref="B17:B18"/>
    </sheetView>
  </sheetViews>
  <sheetFormatPr defaultRowHeight="13.5" x14ac:dyDescent="0.15"/>
  <cols>
    <col min="1" max="1" width="9" style="106"/>
    <col min="2" max="2" width="18.625" style="106" customWidth="1"/>
    <col min="3" max="3" width="8.625" style="108" customWidth="1"/>
    <col min="4" max="4" width="8.625" style="106" customWidth="1"/>
    <col min="5" max="5" width="21.125" style="106" customWidth="1"/>
    <col min="6" max="6" width="29.125" style="106" customWidth="1"/>
    <col min="7" max="7" width="21.75" style="106" customWidth="1"/>
    <col min="8" max="8" width="10" style="108" customWidth="1"/>
    <col min="9" max="10" width="10" style="106" customWidth="1"/>
    <col min="11" max="11" width="27.5" style="106" customWidth="1"/>
    <col min="12" max="12" width="12.5" style="106" customWidth="1"/>
    <col min="13" max="13" width="28.75" style="106" customWidth="1"/>
    <col min="14" max="14" width="15.375" style="106" customWidth="1"/>
    <col min="15" max="16384" width="9" style="106"/>
  </cols>
  <sheetData>
    <row r="1" spans="1:14" ht="34.5" customHeight="1" x14ac:dyDescent="0.15">
      <c r="B1" s="147" t="s">
        <v>21</v>
      </c>
      <c r="C1" s="147"/>
      <c r="D1" s="147"/>
      <c r="E1" s="147"/>
      <c r="F1" s="147"/>
      <c r="G1" s="107"/>
      <c r="H1" s="107"/>
      <c r="I1" s="107"/>
      <c r="J1" s="107"/>
      <c r="K1" s="107"/>
      <c r="L1" s="107"/>
      <c r="M1" s="107"/>
      <c r="N1" s="107"/>
    </row>
    <row r="2" spans="1:14" ht="33" customHeight="1" x14ac:dyDescent="0.15">
      <c r="E2" s="109"/>
      <c r="F2" s="109"/>
      <c r="K2" s="109"/>
      <c r="L2" s="109"/>
      <c r="M2" s="109"/>
      <c r="N2" s="109"/>
    </row>
    <row r="3" spans="1:14" ht="27.75" customHeight="1" x14ac:dyDescent="0.15">
      <c r="B3" s="148" t="s">
        <v>18</v>
      </c>
      <c r="C3" s="148" t="s">
        <v>2</v>
      </c>
      <c r="D3" s="148" t="s">
        <v>3</v>
      </c>
      <c r="E3" s="148" t="s">
        <v>20</v>
      </c>
      <c r="F3" s="110" t="s">
        <v>140</v>
      </c>
      <c r="G3" s="111"/>
      <c r="H3" s="111"/>
      <c r="I3" s="111"/>
      <c r="J3" s="111"/>
      <c r="K3" s="111"/>
      <c r="L3" s="111"/>
      <c r="M3" s="111"/>
      <c r="N3" s="111"/>
    </row>
    <row r="4" spans="1:14" ht="27.75" customHeight="1" x14ac:dyDescent="0.15">
      <c r="B4" s="148"/>
      <c r="C4" s="148"/>
      <c r="D4" s="148"/>
      <c r="E4" s="148"/>
      <c r="F4" s="110" t="s">
        <v>146</v>
      </c>
      <c r="M4" s="112"/>
      <c r="N4" s="108"/>
    </row>
    <row r="5" spans="1:14" ht="29.25" customHeight="1" x14ac:dyDescent="0.15">
      <c r="A5" s="152">
        <v>1</v>
      </c>
      <c r="B5" s="153" t="e">
        <f>IF(ISBLANK($A5), "", VLOOKUP($A5, 入力シート!$A$7:$J$1000, 3, FALSE))</f>
        <v>#REF!</v>
      </c>
      <c r="C5" s="160" t="e">
        <f>IF(ISBLANK($A5), "", VLOOKUP($A5, 入力シート!$A$7:$J$1000, 4, FALSE))</f>
        <v>#REF!</v>
      </c>
      <c r="D5" s="155" t="e">
        <f>IF(ISBLANK($A5), "", VLOOKUP($A5, 入力シート!$A$7:$J$1000, 6, FALSE))</f>
        <v>#REF!</v>
      </c>
      <c r="E5" s="150" t="e">
        <f>IF(ISBLANK($A5), "", VLOOKUP($A5, 入力シート!$A$7:$J$1000, 9, FALSE))</f>
        <v>#REF!</v>
      </c>
      <c r="F5" s="135" t="e">
        <f>IF(ISBLANK($A5), "", VLOOKUP($A5, 入力シート!$A$7:$J$1000, 8, FALSE))</f>
        <v>#REF!</v>
      </c>
    </row>
    <row r="6" spans="1:14" ht="29.25" customHeight="1" x14ac:dyDescent="0.15">
      <c r="A6" s="152"/>
      <c r="B6" s="153"/>
      <c r="C6" s="160"/>
      <c r="D6" s="155"/>
      <c r="E6" s="151"/>
      <c r="F6" s="115"/>
      <c r="M6" s="112"/>
      <c r="N6" s="108"/>
    </row>
    <row r="7" spans="1:14" ht="29.25" customHeight="1" x14ac:dyDescent="0.15">
      <c r="A7" s="152">
        <v>2</v>
      </c>
      <c r="B7" s="153" t="e">
        <f>IF(ISBLANK($A7), "", VLOOKUP($A7, 入力シート!$A$7:$J$1000, 3, FALSE))</f>
        <v>#REF!</v>
      </c>
      <c r="C7" s="160" t="e">
        <f>IF(ISBLANK($A7), "", VLOOKUP($A7, 入力シート!$A$7:$J$1000, 4, FALSE))</f>
        <v>#REF!</v>
      </c>
      <c r="D7" s="155" t="e">
        <f>IF(ISBLANK($A7), "", VLOOKUP($A7, 入力シート!$A$7:$J$1000, 6, FALSE))</f>
        <v>#REF!</v>
      </c>
      <c r="E7" s="150" t="e">
        <f>IF(ISBLANK($A7), "", VLOOKUP($A7, 入力シート!$A$7:$J$1000, 9, FALSE))</f>
        <v>#REF!</v>
      </c>
      <c r="F7" s="135" t="e">
        <f>IF(ISBLANK($A7), "", VLOOKUP($A7, 入力シート!$A$7:$J$1000, 8, FALSE))</f>
        <v>#REF!</v>
      </c>
    </row>
    <row r="8" spans="1:14" ht="29.25" customHeight="1" x14ac:dyDescent="0.15">
      <c r="A8" s="152"/>
      <c r="B8" s="153"/>
      <c r="C8" s="160"/>
      <c r="D8" s="155"/>
      <c r="E8" s="151"/>
      <c r="F8" s="115"/>
      <c r="M8" s="112"/>
      <c r="N8" s="108"/>
    </row>
    <row r="9" spans="1:14" ht="29.25" customHeight="1" x14ac:dyDescent="0.15">
      <c r="A9" s="152">
        <v>3</v>
      </c>
      <c r="B9" s="153" t="e">
        <f>IF(ISBLANK($A9), "", VLOOKUP($A9, 入力シート!$A$7:$J$1000, 3, FALSE))</f>
        <v>#REF!</v>
      </c>
      <c r="C9" s="160" t="e">
        <f>IF(ISBLANK($A9), "", VLOOKUP($A9, 入力シート!$A$7:$J$1000, 4, FALSE))</f>
        <v>#REF!</v>
      </c>
      <c r="D9" s="155" t="e">
        <f>IF(ISBLANK($A9), "", VLOOKUP($A9, 入力シート!$A$7:$J$1000, 6, FALSE))</f>
        <v>#REF!</v>
      </c>
      <c r="E9" s="150" t="e">
        <f>IF(ISBLANK($A9), "", VLOOKUP($A9, 入力シート!$A$7:$J$1000, 9, FALSE))</f>
        <v>#REF!</v>
      </c>
      <c r="F9" s="135" t="e">
        <f>IF(ISBLANK($A9), "", VLOOKUP($A9, 入力シート!$A$7:$J$1000, 8, FALSE))</f>
        <v>#REF!</v>
      </c>
    </row>
    <row r="10" spans="1:14" ht="29.25" customHeight="1" x14ac:dyDescent="0.15">
      <c r="A10" s="152"/>
      <c r="B10" s="153"/>
      <c r="C10" s="160"/>
      <c r="D10" s="155"/>
      <c r="E10" s="151"/>
      <c r="F10" s="115"/>
      <c r="M10" s="112"/>
      <c r="N10" s="108"/>
    </row>
    <row r="11" spans="1:14" ht="29.25" customHeight="1" x14ac:dyDescent="0.15">
      <c r="A11" s="152">
        <v>4</v>
      </c>
      <c r="B11" s="153" t="e">
        <f>IF(ISBLANK($A11), "", VLOOKUP($A11, 入力シート!$A$7:$J$1000, 3, FALSE))</f>
        <v>#REF!</v>
      </c>
      <c r="C11" s="160" t="e">
        <f>IF(ISBLANK($A11), "", VLOOKUP($A11, 入力シート!$A$7:$J$1000, 4, FALSE))</f>
        <v>#REF!</v>
      </c>
      <c r="D11" s="155" t="e">
        <f>IF(ISBLANK($A11), "", VLOOKUP($A11, 入力シート!$A$7:$J$1000, 6, FALSE))</f>
        <v>#REF!</v>
      </c>
      <c r="E11" s="150" t="e">
        <f>IF(ISBLANK($A11), "", VLOOKUP($A11, 入力シート!$A$7:$J$1000, 9, FALSE))</f>
        <v>#REF!</v>
      </c>
      <c r="F11" s="135" t="e">
        <f>IF(ISBLANK($A11), "", VLOOKUP($A11, 入力シート!$A$7:$J$1000, 8, FALSE))</f>
        <v>#REF!</v>
      </c>
    </row>
    <row r="12" spans="1:14" ht="29.25" customHeight="1" x14ac:dyDescent="0.15">
      <c r="A12" s="152"/>
      <c r="B12" s="153"/>
      <c r="C12" s="160"/>
      <c r="D12" s="155"/>
      <c r="E12" s="151"/>
      <c r="F12" s="115"/>
      <c r="M12" s="112"/>
      <c r="N12" s="108"/>
    </row>
    <row r="13" spans="1:14" ht="29.25" customHeight="1" x14ac:dyDescent="0.15">
      <c r="A13" s="152">
        <v>5</v>
      </c>
      <c r="B13" s="153" t="e">
        <f>IF(ISBLANK($A13), "", VLOOKUP($A13, 入力シート!$A$7:$J$1000, 3, FALSE))</f>
        <v>#REF!</v>
      </c>
      <c r="C13" s="160" t="e">
        <f>IF(ISBLANK($A13), "", VLOOKUP($A13, 入力シート!$A$7:$J$1000, 4, FALSE))</f>
        <v>#REF!</v>
      </c>
      <c r="D13" s="155" t="e">
        <f>IF(ISBLANK($A13), "", VLOOKUP($A13, 入力シート!$A$7:$J$1000, 6, FALSE))</f>
        <v>#REF!</v>
      </c>
      <c r="E13" s="150" t="e">
        <f>IF(ISBLANK($A13), "", VLOOKUP($A13, 入力シート!$A$7:$J$1000, 9, FALSE))</f>
        <v>#REF!</v>
      </c>
      <c r="F13" s="135" t="e">
        <f>IF(ISBLANK($A13), "", VLOOKUP($A13, 入力シート!$A$7:$J$1000, 8, FALSE))</f>
        <v>#REF!</v>
      </c>
    </row>
    <row r="14" spans="1:14" ht="29.25" customHeight="1" x14ac:dyDescent="0.15">
      <c r="A14" s="152"/>
      <c r="B14" s="153"/>
      <c r="C14" s="160"/>
      <c r="D14" s="155"/>
      <c r="E14" s="151"/>
      <c r="F14" s="115"/>
      <c r="M14" s="112"/>
      <c r="N14" s="108"/>
    </row>
    <row r="15" spans="1:14" ht="29.25" customHeight="1" x14ac:dyDescent="0.15">
      <c r="A15" s="152">
        <v>6</v>
      </c>
      <c r="B15" s="153" t="e">
        <f>IF(ISBLANK($A15), "", VLOOKUP($A15, 入力シート!$A$7:$J$1000, 3, FALSE))</f>
        <v>#REF!</v>
      </c>
      <c r="C15" s="160" t="e">
        <f>IF(ISBLANK($A15), "", VLOOKUP($A15, 入力シート!$A$7:$J$1000, 4, FALSE))</f>
        <v>#REF!</v>
      </c>
      <c r="D15" s="155" t="e">
        <f>IF(ISBLANK($A15), "", VLOOKUP($A15, 入力シート!$A$7:$J$1000, 6, FALSE))</f>
        <v>#REF!</v>
      </c>
      <c r="E15" s="150" t="e">
        <f>IF(ISBLANK($A15), "", VLOOKUP($A15, 入力シート!$A$7:$J$1000, 9, FALSE))</f>
        <v>#REF!</v>
      </c>
      <c r="F15" s="135" t="e">
        <f>IF(ISBLANK($A15), "", VLOOKUP($A15, 入力シート!$A$7:$J$1000, 8, FALSE))</f>
        <v>#REF!</v>
      </c>
    </row>
    <row r="16" spans="1:14" ht="29.25" customHeight="1" x14ac:dyDescent="0.15">
      <c r="A16" s="152"/>
      <c r="B16" s="153"/>
      <c r="C16" s="160"/>
      <c r="D16" s="155"/>
      <c r="E16" s="151"/>
      <c r="F16" s="115"/>
      <c r="M16" s="112"/>
      <c r="N16" s="108"/>
    </row>
    <row r="17" spans="1:14" ht="29.25" customHeight="1" x14ac:dyDescent="0.15">
      <c r="A17" s="152">
        <v>7</v>
      </c>
      <c r="B17" s="153">
        <f>IF(ISBLANK($A17), "", VLOOKUP($A17, 入力シート!$A$7:$J$1000, 3, FALSE))</f>
        <v>0</v>
      </c>
      <c r="C17" s="160">
        <f>IF(ISBLANK($A17), "", VLOOKUP($A17, 入力シート!$A$7:$J$1000, 4, FALSE))</f>
        <v>0</v>
      </c>
      <c r="D17" s="155">
        <f>IF(ISBLANK($A17), "", VLOOKUP($A17, 入力シート!$A$7:$J$1000, 6, FALSE))</f>
        <v>0</v>
      </c>
      <c r="E17" s="150">
        <f>IF(ISBLANK($A17), "", VLOOKUP($A17, 入力シート!$A$7:$J$1000, 9, FALSE))</f>
        <v>0</v>
      </c>
      <c r="F17" s="135">
        <f>IF(ISBLANK($A17), "", VLOOKUP($A17, 入力シート!$A$7:$J$1000, 8, FALSE))</f>
        <v>0</v>
      </c>
    </row>
    <row r="18" spans="1:14" ht="29.25" customHeight="1" x14ac:dyDescent="0.15">
      <c r="A18" s="152"/>
      <c r="B18" s="153"/>
      <c r="C18" s="160"/>
      <c r="D18" s="155"/>
      <c r="E18" s="151"/>
      <c r="F18" s="115"/>
      <c r="M18" s="112"/>
      <c r="N18" s="108"/>
    </row>
    <row r="19" spans="1:14" ht="29.25" customHeight="1" x14ac:dyDescent="0.15">
      <c r="A19" s="152">
        <v>8</v>
      </c>
      <c r="B19" s="153">
        <f>IF(ISBLANK($A19), "", VLOOKUP($A19, 入力シート!$A$7:$J$1000, 3, FALSE))</f>
        <v>0</v>
      </c>
      <c r="C19" s="160">
        <f>IF(ISBLANK($A19), "", VLOOKUP($A19, 入力シート!$A$7:$J$1000, 4, FALSE))</f>
        <v>0</v>
      </c>
      <c r="D19" s="155">
        <f>IF(ISBLANK($A19), "", VLOOKUP($A19, 入力シート!$A$7:$J$1000, 6, FALSE))</f>
        <v>0</v>
      </c>
      <c r="E19" s="150">
        <f>IF(ISBLANK($A19), "", VLOOKUP($A19, 入力シート!$A$7:$J$1000, 9, FALSE))</f>
        <v>0</v>
      </c>
      <c r="F19" s="135">
        <f>IF(ISBLANK($A19), "", VLOOKUP($A19, 入力シート!$A$7:$J$1000, 8, FALSE))</f>
        <v>0</v>
      </c>
    </row>
    <row r="20" spans="1:14" ht="29.25" customHeight="1" x14ac:dyDescent="0.15">
      <c r="A20" s="152"/>
      <c r="B20" s="153"/>
      <c r="C20" s="160"/>
      <c r="D20" s="155"/>
      <c r="E20" s="151"/>
      <c r="F20" s="115"/>
      <c r="M20" s="112"/>
      <c r="N20" s="108"/>
    </row>
    <row r="21" spans="1:14" ht="29.25" customHeight="1" x14ac:dyDescent="0.15">
      <c r="A21" s="152">
        <v>9</v>
      </c>
      <c r="B21" s="153">
        <f>IF(ISBLANK($A21), "", VLOOKUP($A21, 入力シート!$A$7:$J$1000, 3, FALSE))</f>
        <v>0</v>
      </c>
      <c r="C21" s="160">
        <f>IF(ISBLANK($A21), "", VLOOKUP($A21, 入力シート!$A$7:$J$1000, 4, FALSE))</f>
        <v>0</v>
      </c>
      <c r="D21" s="155">
        <f>IF(ISBLANK($A21), "", VLOOKUP($A21, 入力シート!$A$7:$J$1000, 6, FALSE))</f>
        <v>0</v>
      </c>
      <c r="E21" s="150">
        <f>IF(ISBLANK($A21), "", VLOOKUP($A21, 入力シート!$A$7:$J$1000, 9, FALSE))</f>
        <v>0</v>
      </c>
      <c r="F21" s="135">
        <f>IF(ISBLANK($A21), "", VLOOKUP($A21, 入力シート!$A$7:$J$1000, 8, FALSE))</f>
        <v>0</v>
      </c>
    </row>
    <row r="22" spans="1:14" ht="29.25" customHeight="1" x14ac:dyDescent="0.15">
      <c r="A22" s="152"/>
      <c r="B22" s="153"/>
      <c r="C22" s="160"/>
      <c r="D22" s="155"/>
      <c r="E22" s="151"/>
      <c r="F22" s="115"/>
      <c r="M22" s="112"/>
      <c r="N22" s="108"/>
    </row>
    <row r="23" spans="1:14" ht="29.25" customHeight="1" x14ac:dyDescent="0.15">
      <c r="A23" s="152">
        <v>10</v>
      </c>
      <c r="B23" s="153">
        <f>IF(ISBLANK($A23), "", VLOOKUP($A23, 入力シート!$A$7:$J$1000, 3, FALSE))</f>
        <v>0</v>
      </c>
      <c r="C23" s="160">
        <f>IF(ISBLANK($A23), "", VLOOKUP($A23, 入力シート!$A$7:$J$1000, 4, FALSE))</f>
        <v>0</v>
      </c>
      <c r="D23" s="155">
        <f>IF(ISBLANK($A23), "", VLOOKUP($A23, 入力シート!$A$7:$J$1000, 6, FALSE))</f>
        <v>0</v>
      </c>
      <c r="E23" s="150">
        <f>IF(ISBLANK($A23), "", VLOOKUP($A23, 入力シート!$A$7:$J$1000, 9, FALSE))</f>
        <v>0</v>
      </c>
      <c r="F23" s="135">
        <f>IF(ISBLANK($A23), "", VLOOKUP($A23, 入力シート!$A$7:$J$1000, 8, FALSE))</f>
        <v>0</v>
      </c>
    </row>
    <row r="24" spans="1:14" ht="29.25" customHeight="1" x14ac:dyDescent="0.15">
      <c r="A24" s="152"/>
      <c r="B24" s="153"/>
      <c r="C24" s="160"/>
      <c r="D24" s="155"/>
      <c r="E24" s="151"/>
      <c r="F24" s="115"/>
      <c r="M24" s="112"/>
      <c r="N24" s="108"/>
    </row>
    <row r="25" spans="1:14" ht="29.25" customHeight="1" x14ac:dyDescent="0.15">
      <c r="A25" s="152">
        <v>11</v>
      </c>
      <c r="B25" s="153">
        <f>IF(ISBLANK($A25), "", VLOOKUP($A25, 入力シート!$A$7:$J$1000, 3, FALSE))</f>
        <v>0</v>
      </c>
      <c r="C25" s="160">
        <f>IF(ISBLANK($A25), "", VLOOKUP($A25, 入力シート!$A$7:$J$1000, 4, FALSE))</f>
        <v>0</v>
      </c>
      <c r="D25" s="155">
        <f>IF(ISBLANK($A25), "", VLOOKUP($A25, 入力シート!$A$7:$J$1000, 6, FALSE))</f>
        <v>0</v>
      </c>
      <c r="E25" s="150">
        <f>IF(ISBLANK($A25), "", VLOOKUP($A25, 入力シート!$A$7:$J$1000, 9, FALSE))</f>
        <v>0</v>
      </c>
      <c r="F25" s="135">
        <f>IF(ISBLANK($A25), "", VLOOKUP($A25, 入力シート!$A$7:$J$1000, 8, FALSE))</f>
        <v>0</v>
      </c>
    </row>
    <row r="26" spans="1:14" ht="29.25" customHeight="1" x14ac:dyDescent="0.15">
      <c r="A26" s="152"/>
      <c r="B26" s="153"/>
      <c r="C26" s="160"/>
      <c r="D26" s="155"/>
      <c r="E26" s="151"/>
      <c r="F26" s="115"/>
    </row>
    <row r="27" spans="1:14" x14ac:dyDescent="0.15">
      <c r="B27" s="106">
        <v>0</v>
      </c>
      <c r="C27" s="108">
        <v>0</v>
      </c>
      <c r="D27" s="106">
        <v>0</v>
      </c>
      <c r="F27" s="108"/>
      <c r="H27" s="106"/>
    </row>
    <row r="28" spans="1:14" x14ac:dyDescent="0.15">
      <c r="F28" s="108"/>
      <c r="H28" s="106"/>
    </row>
    <row r="29" spans="1:14" x14ac:dyDescent="0.15">
      <c r="B29" s="106">
        <v>0</v>
      </c>
      <c r="C29" s="108">
        <v>0</v>
      </c>
      <c r="D29" s="106">
        <v>0</v>
      </c>
      <c r="F29" s="108"/>
      <c r="H29" s="106"/>
    </row>
    <row r="30" spans="1:14" x14ac:dyDescent="0.15">
      <c r="F30" s="108"/>
      <c r="H30" s="106"/>
    </row>
    <row r="31" spans="1:14" x14ac:dyDescent="0.15">
      <c r="B31" s="106">
        <v>0</v>
      </c>
      <c r="C31" s="108">
        <v>0</v>
      </c>
      <c r="D31" s="106">
        <v>0</v>
      </c>
      <c r="F31" s="108"/>
      <c r="H31" s="106"/>
    </row>
    <row r="32" spans="1:14" x14ac:dyDescent="0.15">
      <c r="F32" s="108"/>
      <c r="H32" s="106"/>
    </row>
  </sheetData>
  <mergeCells count="60">
    <mergeCell ref="A23:A24"/>
    <mergeCell ref="B23:B24"/>
    <mergeCell ref="C23:C24"/>
    <mergeCell ref="D23:D24"/>
    <mergeCell ref="E23:E24"/>
    <mergeCell ref="A25:A26"/>
    <mergeCell ref="B25:B26"/>
    <mergeCell ref="C25:C26"/>
    <mergeCell ref="D25:D26"/>
    <mergeCell ref="E25:E26"/>
    <mergeCell ref="A19:A20"/>
    <mergeCell ref="B19:B20"/>
    <mergeCell ref="C19:C20"/>
    <mergeCell ref="D19:D20"/>
    <mergeCell ref="E19:E20"/>
    <mergeCell ref="A21:A22"/>
    <mergeCell ref="B21:B22"/>
    <mergeCell ref="C21:C22"/>
    <mergeCell ref="D21:D22"/>
    <mergeCell ref="E21:E22"/>
    <mergeCell ref="A15:A16"/>
    <mergeCell ref="B15:B16"/>
    <mergeCell ref="C15:C16"/>
    <mergeCell ref="D15:D16"/>
    <mergeCell ref="E15:E16"/>
    <mergeCell ref="A17:A18"/>
    <mergeCell ref="B17:B18"/>
    <mergeCell ref="C17:C18"/>
    <mergeCell ref="D17:D18"/>
    <mergeCell ref="E17:E18"/>
    <mergeCell ref="A11:A12"/>
    <mergeCell ref="B11:B12"/>
    <mergeCell ref="C11:C12"/>
    <mergeCell ref="D11:D12"/>
    <mergeCell ref="E11:E12"/>
    <mergeCell ref="A13:A14"/>
    <mergeCell ref="B13:B14"/>
    <mergeCell ref="C13:C14"/>
    <mergeCell ref="D13:D14"/>
    <mergeCell ref="E13:E14"/>
    <mergeCell ref="A7:A8"/>
    <mergeCell ref="B7:B8"/>
    <mergeCell ref="C7:C8"/>
    <mergeCell ref="D7:D8"/>
    <mergeCell ref="E7:E8"/>
    <mergeCell ref="A9:A10"/>
    <mergeCell ref="B9:B10"/>
    <mergeCell ref="C9:C10"/>
    <mergeCell ref="D9:D10"/>
    <mergeCell ref="E9:E10"/>
    <mergeCell ref="B1:F1"/>
    <mergeCell ref="B3:B4"/>
    <mergeCell ref="C3:C4"/>
    <mergeCell ref="D3:D4"/>
    <mergeCell ref="E3:E4"/>
    <mergeCell ref="A5:A6"/>
    <mergeCell ref="B5:B6"/>
    <mergeCell ref="C5:C6"/>
    <mergeCell ref="D5:D6"/>
    <mergeCell ref="E5:E6"/>
  </mergeCells>
  <phoneticPr fontId="2"/>
  <printOptions horizontalCentered="1"/>
  <pageMargins left="0.59055118110236227" right="0.31" top="0.98425196850393704" bottom="0.7" header="0.51181102362204722" footer="0.51181102362204722"/>
  <pageSetup paperSize="9"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F0352-FFD1-47D7-8F59-96BD8FE93CCC}">
  <dimension ref="A1:P32"/>
  <sheetViews>
    <sheetView showZeros="0" workbookViewId="0">
      <selection activeCell="C5" sqref="C5:C30"/>
    </sheetView>
  </sheetViews>
  <sheetFormatPr defaultRowHeight="13.5" x14ac:dyDescent="0.15"/>
  <cols>
    <col min="1" max="1" width="9" style="106"/>
    <col min="2" max="2" width="18.625" style="106" customWidth="1"/>
    <col min="3" max="3" width="8.625" style="108" customWidth="1"/>
    <col min="4" max="6" width="8.625" style="106" customWidth="1"/>
    <col min="7" max="8" width="21.125" style="106" customWidth="1"/>
    <col min="9" max="9" width="21.75" style="106" customWidth="1"/>
    <col min="10" max="10" width="10" style="108" customWidth="1"/>
    <col min="11" max="12" width="10" style="106" customWidth="1"/>
    <col min="13" max="13" width="27.5" style="106" customWidth="1"/>
    <col min="14" max="14" width="12.5" style="106" customWidth="1"/>
    <col min="15" max="15" width="28.75" style="106" customWidth="1"/>
    <col min="16" max="16" width="15.375" style="106" customWidth="1"/>
    <col min="17" max="16384" width="9" style="106"/>
  </cols>
  <sheetData>
    <row r="1" spans="1:16" ht="34.5" customHeight="1" x14ac:dyDescent="0.15">
      <c r="B1" s="147" t="s">
        <v>21</v>
      </c>
      <c r="C1" s="147"/>
      <c r="D1" s="147"/>
      <c r="E1" s="147"/>
      <c r="F1" s="147"/>
      <c r="G1" s="147"/>
      <c r="H1" s="147"/>
      <c r="I1" s="107"/>
      <c r="J1" s="107"/>
      <c r="K1" s="107"/>
      <c r="L1" s="107"/>
      <c r="M1" s="107"/>
      <c r="N1" s="107"/>
      <c r="O1" s="107"/>
      <c r="P1" s="107"/>
    </row>
    <row r="2" spans="1:16" ht="33" customHeight="1" x14ac:dyDescent="0.15">
      <c r="G2" s="109"/>
      <c r="H2" s="109"/>
      <c r="M2" s="109"/>
      <c r="N2" s="109"/>
      <c r="O2" s="109"/>
      <c r="P2" s="109"/>
    </row>
    <row r="3" spans="1:16" ht="27.75" customHeight="1" x14ac:dyDescent="0.15">
      <c r="B3" s="148" t="s">
        <v>18</v>
      </c>
      <c r="C3" s="148" t="s">
        <v>2</v>
      </c>
      <c r="D3" s="148" t="s">
        <v>3</v>
      </c>
      <c r="E3" s="148" t="s">
        <v>4</v>
      </c>
      <c r="F3" s="149" t="s">
        <v>126</v>
      </c>
      <c r="G3" s="148" t="s">
        <v>20</v>
      </c>
      <c r="H3" s="110" t="s">
        <v>19</v>
      </c>
      <c r="I3" s="111"/>
      <c r="J3" s="111"/>
      <c r="K3" s="111"/>
      <c r="L3" s="111"/>
      <c r="M3" s="111"/>
      <c r="N3" s="111"/>
      <c r="O3" s="111"/>
      <c r="P3" s="111"/>
    </row>
    <row r="4" spans="1:16" ht="27.75" customHeight="1" x14ac:dyDescent="0.15">
      <c r="B4" s="148"/>
      <c r="C4" s="148"/>
      <c r="D4" s="148"/>
      <c r="E4" s="148"/>
      <c r="F4" s="149"/>
      <c r="G4" s="148"/>
      <c r="H4" s="110" t="s">
        <v>139</v>
      </c>
      <c r="O4" s="112"/>
      <c r="P4" s="108"/>
    </row>
    <row r="5" spans="1:16" ht="29.25" customHeight="1" x14ac:dyDescent="0.15">
      <c r="A5" s="152">
        <v>1</v>
      </c>
      <c r="B5" s="153" t="e">
        <f>IF(ISBLANK($A5), "", VLOOKUP($A5, 入力シート!$A$7:$J$1000, 3, FALSE))</f>
        <v>#REF!</v>
      </c>
      <c r="C5" s="160" t="e">
        <f>IF(ISBLANK($A5), "", VLOOKUP($A5, 入力シート!$A$7:$J$1000, 4, FALSE))</f>
        <v>#REF!</v>
      </c>
      <c r="D5" s="155" t="e">
        <f>IF(ISBLANK($A5), "", VLOOKUP($A5, 入力シート!$A$7:$J$1000, 6, FALSE))</f>
        <v>#REF!</v>
      </c>
      <c r="E5" s="155" t="e">
        <f>IF(ISBLANK($A5), "", VLOOKUP($A5, 入力シート!$A$7:$J$1000, 7, FALSE))</f>
        <v>#REF!</v>
      </c>
      <c r="F5" s="156" t="e">
        <f>IF(ISBLANK($A5), "", VLOOKUP($A5, 入力シート!$A$7:$J$1000, 10, FALSE))</f>
        <v>#REF!</v>
      </c>
      <c r="G5" s="150" t="e">
        <f>IF(ISBLANK($A5), "", VLOOKUP($A5, 入力シート!$A$7:$J$1000, 9, FALSE))</f>
        <v>#REF!</v>
      </c>
      <c r="H5" s="135" t="e">
        <f>IF(ISBLANK($A5), "", VLOOKUP($A5, 入力シート!$A$7:$J$1000, 8, FALSE))</f>
        <v>#REF!</v>
      </c>
    </row>
    <row r="6" spans="1:16" ht="29.25" customHeight="1" x14ac:dyDescent="0.15">
      <c r="A6" s="152"/>
      <c r="B6" s="153"/>
      <c r="C6" s="160"/>
      <c r="D6" s="155"/>
      <c r="E6" s="155"/>
      <c r="F6" s="156"/>
      <c r="G6" s="151"/>
      <c r="H6" s="115"/>
      <c r="O6" s="112"/>
      <c r="P6" s="108"/>
    </row>
    <row r="7" spans="1:16" ht="29.25" customHeight="1" x14ac:dyDescent="0.15">
      <c r="A7" s="152">
        <v>2</v>
      </c>
      <c r="B7" s="153" t="e">
        <f>IF(ISBLANK($A7), "", VLOOKUP($A7, 入力シート!$A$7:$J$1000, 3, FALSE))</f>
        <v>#REF!</v>
      </c>
      <c r="C7" s="160" t="e">
        <f>IF(ISBLANK($A7), "", VLOOKUP($A7, 入力シート!$A$7:$J$1000, 4, FALSE))</f>
        <v>#REF!</v>
      </c>
      <c r="D7" s="155" t="e">
        <f>IF(ISBLANK($A7), "", VLOOKUP($A7, 入力シート!$A$7:$J$1000, 6, FALSE))</f>
        <v>#REF!</v>
      </c>
      <c r="E7" s="155" t="e">
        <f>IF(ISBLANK($A7), "", VLOOKUP($A7, 入力シート!$A$7:$J$1000, 7, FALSE))</f>
        <v>#REF!</v>
      </c>
      <c r="F7" s="156" t="e">
        <f>IF(ISBLANK($A7), "", VLOOKUP($A7, 入力シート!$A$7:$J$1000, 10, FALSE))</f>
        <v>#REF!</v>
      </c>
      <c r="G7" s="150" t="e">
        <f>IF(ISBLANK($A7), "", VLOOKUP($A7, 入力シート!$A$7:$J$1000, 9, FALSE))</f>
        <v>#REF!</v>
      </c>
      <c r="H7" s="135" t="e">
        <f>IF(ISBLANK($A7), "", VLOOKUP($A7, 入力シート!$A$7:$J$1000, 8, FALSE))</f>
        <v>#REF!</v>
      </c>
    </row>
    <row r="8" spans="1:16" ht="29.25" customHeight="1" x14ac:dyDescent="0.15">
      <c r="A8" s="152"/>
      <c r="B8" s="153"/>
      <c r="C8" s="160"/>
      <c r="D8" s="155"/>
      <c r="E8" s="155"/>
      <c r="F8" s="156"/>
      <c r="G8" s="151"/>
      <c r="H8" s="115"/>
      <c r="O8" s="112"/>
      <c r="P8" s="108"/>
    </row>
    <row r="9" spans="1:16" ht="29.25" customHeight="1" x14ac:dyDescent="0.15">
      <c r="A9" s="152">
        <v>3</v>
      </c>
      <c r="B9" s="153" t="e">
        <f>IF(ISBLANK($A9), "", VLOOKUP($A9, 入力シート!$A$7:$J$1000, 3, FALSE))</f>
        <v>#REF!</v>
      </c>
      <c r="C9" s="160" t="e">
        <f>IF(ISBLANK($A9), "", VLOOKUP($A9, 入力シート!$A$7:$J$1000, 4, FALSE))</f>
        <v>#REF!</v>
      </c>
      <c r="D9" s="155" t="e">
        <f>IF(ISBLANK($A9), "", VLOOKUP($A9, 入力シート!$A$7:$J$1000, 6, FALSE))</f>
        <v>#REF!</v>
      </c>
      <c r="E9" s="155" t="e">
        <f>IF(ISBLANK($A9), "", VLOOKUP($A9, 入力シート!$A$7:$J$1000, 7, FALSE))</f>
        <v>#REF!</v>
      </c>
      <c r="F9" s="156" t="e">
        <f>IF(ISBLANK($A9), "", VLOOKUP($A9, 入力シート!$A$7:$J$1000, 10, FALSE))</f>
        <v>#REF!</v>
      </c>
      <c r="G9" s="150" t="e">
        <f>IF(ISBLANK($A9), "", VLOOKUP($A9, 入力シート!$A$7:$J$1000, 9, FALSE))</f>
        <v>#REF!</v>
      </c>
      <c r="H9" s="135" t="e">
        <f>IF(ISBLANK($A9), "", VLOOKUP($A9, 入力シート!$A$7:$J$1000, 8, FALSE))</f>
        <v>#REF!</v>
      </c>
    </row>
    <row r="10" spans="1:16" ht="29.25" customHeight="1" x14ac:dyDescent="0.15">
      <c r="A10" s="152"/>
      <c r="B10" s="153"/>
      <c r="C10" s="160"/>
      <c r="D10" s="155"/>
      <c r="E10" s="155"/>
      <c r="F10" s="156"/>
      <c r="G10" s="151"/>
      <c r="H10" s="115"/>
      <c r="O10" s="112"/>
      <c r="P10" s="108"/>
    </row>
    <row r="11" spans="1:16" ht="29.25" customHeight="1" x14ac:dyDescent="0.15">
      <c r="A11" s="152">
        <v>4</v>
      </c>
      <c r="B11" s="153" t="e">
        <f>IF(ISBLANK($A11), "", VLOOKUP($A11, 入力シート!$A$7:$J$1000, 3, FALSE))</f>
        <v>#REF!</v>
      </c>
      <c r="C11" s="160" t="e">
        <f>IF(ISBLANK($A11), "", VLOOKUP($A11, 入力シート!$A$7:$J$1000, 4, FALSE))</f>
        <v>#REF!</v>
      </c>
      <c r="D11" s="155" t="e">
        <f>IF(ISBLANK($A11), "", VLOOKUP($A11, 入力シート!$A$7:$J$1000, 6, FALSE))</f>
        <v>#REF!</v>
      </c>
      <c r="E11" s="155" t="e">
        <f>IF(ISBLANK($A11), "", VLOOKUP($A11, 入力シート!$A$7:$J$1000, 7, FALSE))</f>
        <v>#REF!</v>
      </c>
      <c r="F11" s="156" t="e">
        <f>IF(ISBLANK($A11), "", VLOOKUP($A11, 入力シート!$A$7:$J$1000, 10, FALSE))</f>
        <v>#REF!</v>
      </c>
      <c r="G11" s="150" t="e">
        <f>IF(ISBLANK($A11), "", VLOOKUP($A11, 入力シート!$A$7:$J$1000, 9, FALSE))</f>
        <v>#REF!</v>
      </c>
      <c r="H11" s="135" t="e">
        <f>IF(ISBLANK($A11), "", VLOOKUP($A11, 入力シート!$A$7:$J$1000, 8, FALSE))</f>
        <v>#REF!</v>
      </c>
    </row>
    <row r="12" spans="1:16" ht="29.25" customHeight="1" x14ac:dyDescent="0.15">
      <c r="A12" s="152"/>
      <c r="B12" s="153"/>
      <c r="C12" s="160"/>
      <c r="D12" s="155"/>
      <c r="E12" s="155"/>
      <c r="F12" s="156"/>
      <c r="G12" s="151"/>
      <c r="H12" s="115"/>
      <c r="O12" s="112"/>
      <c r="P12" s="108"/>
    </row>
    <row r="13" spans="1:16" ht="29.25" customHeight="1" x14ac:dyDescent="0.15">
      <c r="A13" s="152">
        <v>5</v>
      </c>
      <c r="B13" s="153" t="e">
        <f>IF(ISBLANK($A13), "", VLOOKUP($A13, 入力シート!$A$7:$J$1000, 3, FALSE))</f>
        <v>#REF!</v>
      </c>
      <c r="C13" s="160" t="e">
        <f>IF(ISBLANK($A13), "", VLOOKUP($A13, 入力シート!$A$7:$J$1000, 4, FALSE))</f>
        <v>#REF!</v>
      </c>
      <c r="D13" s="155" t="e">
        <f>IF(ISBLANK($A13), "", VLOOKUP($A13, 入力シート!$A$7:$J$1000, 6, FALSE))</f>
        <v>#REF!</v>
      </c>
      <c r="E13" s="155" t="e">
        <f>IF(ISBLANK($A13), "", VLOOKUP($A13, 入力シート!$A$7:$J$1000, 7, FALSE))</f>
        <v>#REF!</v>
      </c>
      <c r="F13" s="156" t="e">
        <f>IF(ISBLANK($A13), "", VLOOKUP($A13, 入力シート!$A$7:$J$1000, 10, FALSE))</f>
        <v>#REF!</v>
      </c>
      <c r="G13" s="150" t="e">
        <f>IF(ISBLANK($A13), "", VLOOKUP($A13, 入力シート!$A$7:$J$1000, 9, FALSE))</f>
        <v>#REF!</v>
      </c>
      <c r="H13" s="135" t="e">
        <f>IF(ISBLANK($A13), "", VLOOKUP($A13, 入力シート!$A$7:$J$1000, 8, FALSE))</f>
        <v>#REF!</v>
      </c>
    </row>
    <row r="14" spans="1:16" ht="29.25" customHeight="1" x14ac:dyDescent="0.15">
      <c r="A14" s="152"/>
      <c r="B14" s="153"/>
      <c r="C14" s="160"/>
      <c r="D14" s="155"/>
      <c r="E14" s="155"/>
      <c r="F14" s="156"/>
      <c r="G14" s="151"/>
      <c r="H14" s="115"/>
      <c r="O14" s="112"/>
      <c r="P14" s="108"/>
    </row>
    <row r="15" spans="1:16" ht="29.25" customHeight="1" x14ac:dyDescent="0.15">
      <c r="A15" s="152">
        <v>6</v>
      </c>
      <c r="B15" s="153" t="e">
        <f>IF(ISBLANK($A15), "", VLOOKUP($A15, 入力シート!$A$7:$J$1000, 3, FALSE))</f>
        <v>#REF!</v>
      </c>
      <c r="C15" s="160" t="e">
        <f>IF(ISBLANK($A15), "", VLOOKUP($A15, 入力シート!$A$7:$J$1000, 4, FALSE))</f>
        <v>#REF!</v>
      </c>
      <c r="D15" s="155" t="e">
        <f>IF(ISBLANK($A15), "", VLOOKUP($A15, 入力シート!$A$7:$J$1000, 6, FALSE))</f>
        <v>#REF!</v>
      </c>
      <c r="E15" s="155" t="e">
        <f>IF(ISBLANK($A15), "", VLOOKUP($A15, 入力シート!$A$7:$J$1000, 7, FALSE))</f>
        <v>#REF!</v>
      </c>
      <c r="F15" s="156" t="e">
        <f>IF(ISBLANK($A15), "", VLOOKUP($A15, 入力シート!$A$7:$J$1000, 10, FALSE))</f>
        <v>#REF!</v>
      </c>
      <c r="G15" s="150" t="e">
        <f>IF(ISBLANK($A15), "", VLOOKUP($A15, 入力シート!$A$7:$J$1000, 9, FALSE))</f>
        <v>#REF!</v>
      </c>
      <c r="H15" s="135" t="e">
        <f>IF(ISBLANK($A15), "", VLOOKUP($A15, 入力シート!$A$7:$J$1000, 8, FALSE))</f>
        <v>#REF!</v>
      </c>
    </row>
    <row r="16" spans="1:16" ht="29.25" customHeight="1" x14ac:dyDescent="0.15">
      <c r="A16" s="152"/>
      <c r="B16" s="153"/>
      <c r="C16" s="160"/>
      <c r="D16" s="155"/>
      <c r="E16" s="155"/>
      <c r="F16" s="156"/>
      <c r="G16" s="151"/>
      <c r="H16" s="115"/>
      <c r="O16" s="112"/>
      <c r="P16" s="108"/>
    </row>
    <row r="17" spans="1:16" ht="29.25" customHeight="1" x14ac:dyDescent="0.15">
      <c r="A17" s="152">
        <v>7</v>
      </c>
      <c r="B17" s="153">
        <f>IF(ISBLANK($A17), "", VLOOKUP($A17, 入力シート!$A$7:$J$1000, 3, FALSE))</f>
        <v>0</v>
      </c>
      <c r="C17" s="160">
        <f>IF(ISBLANK($A17), "", VLOOKUP($A17, 入力シート!$A$7:$J$1000, 4, FALSE))</f>
        <v>0</v>
      </c>
      <c r="D17" s="155">
        <f>IF(ISBLANK($A17), "", VLOOKUP($A17, 入力シート!$A$7:$J$1000, 6, FALSE))</f>
        <v>0</v>
      </c>
      <c r="E17" s="155">
        <f>IF(ISBLANK($A17), "", VLOOKUP($A17, 入力シート!$A$7:$J$1000, 7, FALSE))</f>
        <v>0</v>
      </c>
      <c r="F17" s="156">
        <f>IF(ISBLANK($A17), "", VLOOKUP($A17, 入力シート!$A$7:$J$1000, 10, FALSE))</f>
        <v>0</v>
      </c>
      <c r="G17" s="150">
        <f>IF(ISBLANK($A17), "", VLOOKUP($A17, 入力シート!$A$7:$J$1000, 9, FALSE))</f>
        <v>0</v>
      </c>
      <c r="H17" s="135">
        <f>IF(ISBLANK($A17), "", VLOOKUP($A17, 入力シート!$A$7:$J$1000, 8, FALSE))</f>
        <v>0</v>
      </c>
    </row>
    <row r="18" spans="1:16" ht="29.25" customHeight="1" x14ac:dyDescent="0.15">
      <c r="A18" s="152"/>
      <c r="B18" s="153"/>
      <c r="C18" s="160"/>
      <c r="D18" s="155"/>
      <c r="E18" s="155"/>
      <c r="F18" s="156"/>
      <c r="G18" s="151"/>
      <c r="H18" s="115"/>
      <c r="O18" s="112"/>
      <c r="P18" s="108"/>
    </row>
    <row r="19" spans="1:16" ht="29.25" customHeight="1" x14ac:dyDescent="0.15">
      <c r="A19" s="152">
        <v>8</v>
      </c>
      <c r="B19" s="153">
        <f>IF(ISBLANK($A19), "", VLOOKUP($A19, 入力シート!$A$7:$J$1000, 3, FALSE))</f>
        <v>0</v>
      </c>
      <c r="C19" s="160">
        <f>IF(ISBLANK($A19), "", VLOOKUP($A19, 入力シート!$A$7:$J$1000, 4, FALSE))</f>
        <v>0</v>
      </c>
      <c r="D19" s="155">
        <f>IF(ISBLANK($A19), "", VLOOKUP($A19, 入力シート!$A$7:$J$1000, 6, FALSE))</f>
        <v>0</v>
      </c>
      <c r="E19" s="155">
        <f>IF(ISBLANK($A19), "", VLOOKUP($A19, 入力シート!$A$7:$J$1000, 7, FALSE))</f>
        <v>0</v>
      </c>
      <c r="F19" s="156">
        <f>IF(ISBLANK($A19), "", VLOOKUP($A19, 入力シート!$A$7:$J$1000, 10, FALSE))</f>
        <v>0</v>
      </c>
      <c r="G19" s="150">
        <f>IF(ISBLANK($A19), "", VLOOKUP($A19, 入力シート!$A$7:$J$1000, 9, FALSE))</f>
        <v>0</v>
      </c>
      <c r="H19" s="135">
        <f>IF(ISBLANK($A19), "", VLOOKUP($A19, 入力シート!$A$7:$J$1000, 8, FALSE))</f>
        <v>0</v>
      </c>
    </row>
    <row r="20" spans="1:16" ht="29.25" customHeight="1" x14ac:dyDescent="0.15">
      <c r="A20" s="152"/>
      <c r="B20" s="153"/>
      <c r="C20" s="160"/>
      <c r="D20" s="155"/>
      <c r="E20" s="155"/>
      <c r="F20" s="156"/>
      <c r="G20" s="151"/>
      <c r="H20" s="115"/>
      <c r="O20" s="112"/>
      <c r="P20" s="108"/>
    </row>
    <row r="21" spans="1:16" ht="29.25" customHeight="1" x14ac:dyDescent="0.15">
      <c r="A21" s="152">
        <v>9</v>
      </c>
      <c r="B21" s="153">
        <f>IF(ISBLANK($A21), "", VLOOKUP($A21, 入力シート!$A$7:$J$1000, 3, FALSE))</f>
        <v>0</v>
      </c>
      <c r="C21" s="160">
        <f>IF(ISBLANK($A21), "", VLOOKUP($A21, 入力シート!$A$7:$J$1000, 4, FALSE))</f>
        <v>0</v>
      </c>
      <c r="D21" s="155">
        <f>IF(ISBLANK($A21), "", VLOOKUP($A21, 入力シート!$A$7:$J$1000, 6, FALSE))</f>
        <v>0</v>
      </c>
      <c r="E21" s="155">
        <f>IF(ISBLANK($A21), "", VLOOKUP($A21, 入力シート!$A$7:$J$1000, 7, FALSE))</f>
        <v>0</v>
      </c>
      <c r="F21" s="156">
        <f>IF(ISBLANK($A21), "", VLOOKUP($A21, 入力シート!$A$7:$J$1000, 10, FALSE))</f>
        <v>0</v>
      </c>
      <c r="G21" s="150">
        <f>IF(ISBLANK($A21), "", VLOOKUP($A21, 入力シート!$A$7:$J$1000, 9, FALSE))</f>
        <v>0</v>
      </c>
      <c r="H21" s="135">
        <f>IF(ISBLANK($A21), "", VLOOKUP($A21, 入力シート!$A$7:$J$1000, 8, FALSE))</f>
        <v>0</v>
      </c>
    </row>
    <row r="22" spans="1:16" ht="29.25" customHeight="1" x14ac:dyDescent="0.15">
      <c r="A22" s="152"/>
      <c r="B22" s="153"/>
      <c r="C22" s="160"/>
      <c r="D22" s="155"/>
      <c r="E22" s="155"/>
      <c r="F22" s="156"/>
      <c r="G22" s="151"/>
      <c r="H22" s="115"/>
      <c r="O22" s="112"/>
      <c r="P22" s="108"/>
    </row>
    <row r="23" spans="1:16" ht="29.25" customHeight="1" x14ac:dyDescent="0.15">
      <c r="A23" s="152">
        <v>10</v>
      </c>
      <c r="B23" s="153">
        <f>IF(ISBLANK($A23), "", VLOOKUP($A23, 入力シート!$A$7:$J$1000, 3, FALSE))</f>
        <v>0</v>
      </c>
      <c r="C23" s="160">
        <f>IF(ISBLANK($A23), "", VLOOKUP($A23, 入力シート!$A$7:$J$1000, 4, FALSE))</f>
        <v>0</v>
      </c>
      <c r="D23" s="155">
        <f>IF(ISBLANK($A23), "", VLOOKUP($A23, 入力シート!$A$7:$J$1000, 6, FALSE))</f>
        <v>0</v>
      </c>
      <c r="E23" s="155">
        <f>IF(ISBLANK($A23), "", VLOOKUP($A23, 入力シート!$A$7:$J$1000, 7, FALSE))</f>
        <v>0</v>
      </c>
      <c r="F23" s="156">
        <f>IF(ISBLANK($A23), "", VLOOKUP($A23, 入力シート!$A$7:$J$1000, 10, FALSE))</f>
        <v>0</v>
      </c>
      <c r="G23" s="150">
        <f>IF(ISBLANK($A23), "", VLOOKUP($A23, 入力シート!$A$7:$J$1000, 9, FALSE))</f>
        <v>0</v>
      </c>
      <c r="H23" s="135">
        <f>IF(ISBLANK($A23), "", VLOOKUP($A23, 入力シート!$A$7:$J$1000, 8, FALSE))</f>
        <v>0</v>
      </c>
    </row>
    <row r="24" spans="1:16" ht="29.25" customHeight="1" x14ac:dyDescent="0.15">
      <c r="A24" s="152"/>
      <c r="B24" s="153"/>
      <c r="C24" s="160"/>
      <c r="D24" s="155"/>
      <c r="E24" s="155"/>
      <c r="F24" s="156"/>
      <c r="G24" s="151"/>
      <c r="H24" s="115"/>
      <c r="O24" s="112"/>
      <c r="P24" s="108"/>
    </row>
    <row r="25" spans="1:16" ht="29.25" customHeight="1" x14ac:dyDescent="0.15">
      <c r="A25" s="152">
        <v>11</v>
      </c>
      <c r="B25" s="153">
        <f>IF(ISBLANK($A25), "", VLOOKUP($A25, 入力シート!$A$7:$J$1000, 3, FALSE))</f>
        <v>0</v>
      </c>
      <c r="C25" s="160">
        <f>IF(ISBLANK($A25), "", VLOOKUP($A25, 入力シート!$A$7:$J$1000, 4, FALSE))</f>
        <v>0</v>
      </c>
      <c r="D25" s="155">
        <f>IF(ISBLANK($A25), "", VLOOKUP($A25, 入力シート!$A$7:$J$1000, 6, FALSE))</f>
        <v>0</v>
      </c>
      <c r="E25" s="155">
        <f>IF(ISBLANK($A25), "", VLOOKUP($A25, 入力シート!$A$7:$J$1000, 7, FALSE))</f>
        <v>0</v>
      </c>
      <c r="F25" s="156">
        <f>IF(ISBLANK($A25), "", VLOOKUP($A25, 入力シート!$A$7:$J$1000, 10, FALSE))</f>
        <v>0</v>
      </c>
      <c r="G25" s="150">
        <f>IF(ISBLANK($A25), "", VLOOKUP($A25, 入力シート!$A$7:$J$1000, 9, FALSE))</f>
        <v>0</v>
      </c>
      <c r="H25" s="135">
        <f>IF(ISBLANK($A25), "", VLOOKUP($A25, 入力シート!$A$7:$J$1000, 8, FALSE))</f>
        <v>0</v>
      </c>
    </row>
    <row r="26" spans="1:16" ht="29.25" customHeight="1" x14ac:dyDescent="0.15">
      <c r="A26" s="152"/>
      <c r="B26" s="153"/>
      <c r="C26" s="160"/>
      <c r="D26" s="155"/>
      <c r="E26" s="155"/>
      <c r="F26" s="156"/>
      <c r="G26" s="151"/>
      <c r="H26" s="115"/>
    </row>
    <row r="27" spans="1:16" x14ac:dyDescent="0.15">
      <c r="B27" s="106">
        <v>0</v>
      </c>
      <c r="C27" s="108">
        <v>0</v>
      </c>
      <c r="D27" s="106">
        <v>0</v>
      </c>
      <c r="E27" s="106">
        <v>0</v>
      </c>
      <c r="H27" s="108"/>
      <c r="J27" s="106"/>
    </row>
    <row r="28" spans="1:16" x14ac:dyDescent="0.15">
      <c r="H28" s="108"/>
      <c r="J28" s="106"/>
    </row>
    <row r="29" spans="1:16" x14ac:dyDescent="0.15">
      <c r="B29" s="106">
        <v>0</v>
      </c>
      <c r="C29" s="108">
        <v>0</v>
      </c>
      <c r="D29" s="106">
        <v>0</v>
      </c>
      <c r="E29" s="106">
        <v>0</v>
      </c>
      <c r="H29" s="108"/>
      <c r="J29" s="106"/>
    </row>
    <row r="30" spans="1:16" x14ac:dyDescent="0.15">
      <c r="H30" s="108"/>
      <c r="J30" s="106"/>
    </row>
    <row r="31" spans="1:16" x14ac:dyDescent="0.15">
      <c r="B31" s="106">
        <v>0</v>
      </c>
      <c r="C31" s="108">
        <v>0</v>
      </c>
      <c r="D31" s="106">
        <v>0</v>
      </c>
      <c r="E31" s="106">
        <v>0</v>
      </c>
      <c r="H31" s="108"/>
      <c r="J31" s="106"/>
    </row>
    <row r="32" spans="1:16" x14ac:dyDescent="0.15">
      <c r="H32" s="108"/>
      <c r="J32" s="106"/>
    </row>
  </sheetData>
  <mergeCells count="84">
    <mergeCell ref="G25:G26"/>
    <mergeCell ref="A25:A26"/>
    <mergeCell ref="B25:B26"/>
    <mergeCell ref="C25:C26"/>
    <mergeCell ref="D25:D26"/>
    <mergeCell ref="E25:E26"/>
    <mergeCell ref="F25:F26"/>
    <mergeCell ref="G21:G22"/>
    <mergeCell ref="A23:A24"/>
    <mergeCell ref="B23:B24"/>
    <mergeCell ref="C23:C24"/>
    <mergeCell ref="D23:D24"/>
    <mergeCell ref="E23:E24"/>
    <mergeCell ref="F23:F24"/>
    <mergeCell ref="G23:G24"/>
    <mergeCell ref="A21:A22"/>
    <mergeCell ref="B21:B22"/>
    <mergeCell ref="C21:C22"/>
    <mergeCell ref="D21:D22"/>
    <mergeCell ref="E21:E22"/>
    <mergeCell ref="F21:F22"/>
    <mergeCell ref="G17:G18"/>
    <mergeCell ref="A19:A20"/>
    <mergeCell ref="B19:B20"/>
    <mergeCell ref="C19:C20"/>
    <mergeCell ref="D19:D20"/>
    <mergeCell ref="E19:E20"/>
    <mergeCell ref="F19:F20"/>
    <mergeCell ref="G19:G20"/>
    <mergeCell ref="A17:A18"/>
    <mergeCell ref="B17:B18"/>
    <mergeCell ref="C17:C18"/>
    <mergeCell ref="D17:D18"/>
    <mergeCell ref="E17:E18"/>
    <mergeCell ref="F17:F18"/>
    <mergeCell ref="G13:G14"/>
    <mergeCell ref="A15:A16"/>
    <mergeCell ref="B15:B16"/>
    <mergeCell ref="C15:C16"/>
    <mergeCell ref="D15:D16"/>
    <mergeCell ref="E15:E16"/>
    <mergeCell ref="F15:F16"/>
    <mergeCell ref="G15:G16"/>
    <mergeCell ref="A13:A14"/>
    <mergeCell ref="B13:B14"/>
    <mergeCell ref="C13:C14"/>
    <mergeCell ref="D13:D14"/>
    <mergeCell ref="E13:E14"/>
    <mergeCell ref="F13:F14"/>
    <mergeCell ref="G9:G10"/>
    <mergeCell ref="A11:A12"/>
    <mergeCell ref="B11:B12"/>
    <mergeCell ref="C11:C12"/>
    <mergeCell ref="D11:D12"/>
    <mergeCell ref="E11:E12"/>
    <mergeCell ref="F11:F12"/>
    <mergeCell ref="G11:G12"/>
    <mergeCell ref="A9:A10"/>
    <mergeCell ref="B9:B10"/>
    <mergeCell ref="C9:C10"/>
    <mergeCell ref="D9:D10"/>
    <mergeCell ref="E9:E10"/>
    <mergeCell ref="F9:F10"/>
    <mergeCell ref="G5:G6"/>
    <mergeCell ref="A7:A8"/>
    <mergeCell ref="B7:B8"/>
    <mergeCell ref="C7:C8"/>
    <mergeCell ref="D7:D8"/>
    <mergeCell ref="E7:E8"/>
    <mergeCell ref="F7:F8"/>
    <mergeCell ref="G7:G8"/>
    <mergeCell ref="A5:A6"/>
    <mergeCell ref="B5:B6"/>
    <mergeCell ref="C5:C6"/>
    <mergeCell ref="D5:D6"/>
    <mergeCell ref="E5:E6"/>
    <mergeCell ref="F5:F6"/>
    <mergeCell ref="B1:H1"/>
    <mergeCell ref="B3:B4"/>
    <mergeCell ref="C3:C4"/>
    <mergeCell ref="D3:D4"/>
    <mergeCell ref="E3:E4"/>
    <mergeCell ref="F3:F4"/>
    <mergeCell ref="G3:G4"/>
  </mergeCells>
  <phoneticPr fontId="2"/>
  <printOptions horizontalCentered="1"/>
  <pageMargins left="0.59055118110236227" right="0.31" top="0.98425196850393704" bottom="0.7" header="0.51181102362204722" footer="0.51181102362204722"/>
  <pageSetup paperSize="9"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4CC0B-D9EA-4409-931E-881D16E2A253}">
  <dimension ref="A1:O33"/>
  <sheetViews>
    <sheetView showZeros="0" zoomScaleNormal="100" workbookViewId="0">
      <selection activeCell="I6" sqref="I6"/>
    </sheetView>
  </sheetViews>
  <sheetFormatPr defaultRowHeight="13.5" x14ac:dyDescent="0.15"/>
  <cols>
    <col min="1" max="1" width="9" style="106"/>
    <col min="2" max="2" width="18.625" style="106" customWidth="1"/>
    <col min="3" max="3" width="8.625" style="108" customWidth="1"/>
    <col min="4" max="5" width="8.625" style="106" customWidth="1"/>
    <col min="6" max="6" width="10.625" style="106" customWidth="1"/>
    <col min="7" max="7" width="27.125" style="106" customWidth="1"/>
    <col min="8" max="8" width="13.125" style="106" customWidth="1"/>
    <col min="9" max="9" width="10" style="108" customWidth="1"/>
    <col min="10" max="11" width="10" style="106" customWidth="1"/>
    <col min="12" max="12" width="27.5" style="106" customWidth="1"/>
    <col min="13" max="13" width="12.5" style="106" customWidth="1"/>
    <col min="14" max="14" width="28.75" style="106" customWidth="1"/>
    <col min="15" max="15" width="15.375" style="106" customWidth="1"/>
    <col min="16" max="16384" width="9" style="106"/>
  </cols>
  <sheetData>
    <row r="1" spans="1:15" ht="34.5" customHeight="1" x14ac:dyDescent="0.15">
      <c r="B1" s="147" t="s">
        <v>21</v>
      </c>
      <c r="C1" s="147"/>
      <c r="D1" s="147"/>
      <c r="E1" s="147"/>
      <c r="F1" s="147"/>
      <c r="G1" s="147"/>
      <c r="H1" s="147"/>
      <c r="I1" s="107"/>
      <c r="J1" s="107"/>
      <c r="K1" s="107"/>
      <c r="L1" s="107"/>
      <c r="M1" s="107"/>
      <c r="N1" s="107"/>
      <c r="O1" s="107"/>
    </row>
    <row r="2" spans="1:15" ht="21" customHeight="1" x14ac:dyDescent="0.15">
      <c r="B2" s="107"/>
      <c r="C2" s="107"/>
      <c r="D2" s="107"/>
      <c r="E2" s="107"/>
      <c r="G2" s="175">
        <f ca="1">TODAY()</f>
        <v>45779</v>
      </c>
      <c r="H2" s="175"/>
      <c r="I2" s="107"/>
      <c r="J2" s="107"/>
      <c r="K2" s="107"/>
      <c r="L2" s="107"/>
      <c r="M2" s="107"/>
      <c r="N2" s="107"/>
      <c r="O2" s="107"/>
    </row>
    <row r="3" spans="1:15" ht="21" customHeight="1" x14ac:dyDescent="0.15">
      <c r="G3" s="176" t="s">
        <v>147</v>
      </c>
      <c r="H3" s="176"/>
      <c r="L3" s="137" t="s">
        <v>209</v>
      </c>
      <c r="M3" s="109"/>
      <c r="N3" s="109"/>
      <c r="O3" s="109"/>
    </row>
    <row r="4" spans="1:15" ht="27.75" customHeight="1" x14ac:dyDescent="0.15">
      <c r="B4" s="148" t="s">
        <v>18</v>
      </c>
      <c r="C4" s="148" t="s">
        <v>2</v>
      </c>
      <c r="D4" s="148" t="s">
        <v>3</v>
      </c>
      <c r="E4" s="148" t="s">
        <v>4</v>
      </c>
      <c r="F4" s="148" t="s">
        <v>20</v>
      </c>
      <c r="G4" s="110" t="s">
        <v>19</v>
      </c>
      <c r="H4" s="149" t="s">
        <v>72</v>
      </c>
      <c r="I4" s="111"/>
      <c r="J4" s="111"/>
      <c r="K4" s="111"/>
      <c r="L4" s="137" t="s">
        <v>210</v>
      </c>
      <c r="M4" s="111"/>
      <c r="N4" s="111"/>
      <c r="O4" s="111"/>
    </row>
    <row r="5" spans="1:15" ht="27.75" customHeight="1" x14ac:dyDescent="0.15">
      <c r="B5" s="148"/>
      <c r="C5" s="148"/>
      <c r="D5" s="148"/>
      <c r="E5" s="148"/>
      <c r="F5" s="148"/>
      <c r="G5" s="110" t="s">
        <v>40</v>
      </c>
      <c r="H5" s="149"/>
      <c r="N5" s="112"/>
      <c r="O5" s="108"/>
    </row>
    <row r="6" spans="1:15" ht="29.25" customHeight="1" x14ac:dyDescent="0.15">
      <c r="A6" s="152">
        <v>1</v>
      </c>
      <c r="B6" s="153" t="e">
        <f>IF(ISBLANK($A6), "", VLOOKUP($A6, 入力シート!$A$7:$J$1000, 3, FALSE))</f>
        <v>#REF!</v>
      </c>
      <c r="C6" s="160" t="e">
        <f>IF(ISBLANK($A6), "", VLOOKUP($A6, 入力シート!$A$7:$J$1000, 4, FALSE))</f>
        <v>#REF!</v>
      </c>
      <c r="D6" s="155" t="e">
        <f>IF(ISBLANK($A6), "", VLOOKUP($A6, 入力シート!$A$7:$J$1000, 6, FALSE))</f>
        <v>#REF!</v>
      </c>
      <c r="E6" s="155" t="e">
        <f>IF(ISBLANK($A6), "", VLOOKUP($A6, 入力シート!$A$7:$J$1000, 7, FALSE))</f>
        <v>#REF!</v>
      </c>
      <c r="F6" s="150" t="e">
        <f>IF(ISBLANK($A6), "", VLOOKUP($A6, 入力シート!$A$7:$J$1000, 9, FALSE))</f>
        <v>#REF!</v>
      </c>
      <c r="G6" s="135" t="e">
        <f>IF(ISBLANK($A6), "", VLOOKUP($A6, 入力シート!$A$7:$J$1000, 8, FALSE))</f>
        <v>#REF!</v>
      </c>
      <c r="H6" s="177"/>
    </row>
    <row r="7" spans="1:15" ht="29.25" customHeight="1" x14ac:dyDescent="0.15">
      <c r="A7" s="152"/>
      <c r="B7" s="153"/>
      <c r="C7" s="160"/>
      <c r="D7" s="155"/>
      <c r="E7" s="155"/>
      <c r="F7" s="151"/>
      <c r="G7" s="115"/>
      <c r="H7" s="177"/>
      <c r="N7" s="112"/>
      <c r="O7" s="108"/>
    </row>
    <row r="8" spans="1:15" ht="29.25" customHeight="1" x14ac:dyDescent="0.15">
      <c r="A8" s="152">
        <v>2</v>
      </c>
      <c r="B8" s="153" t="e">
        <f>IF(ISBLANK($A8), "", VLOOKUP($A8, 入力シート!$A$7:$J$1000, 3, FALSE))</f>
        <v>#REF!</v>
      </c>
      <c r="C8" s="160" t="e">
        <f>IF(ISBLANK($A8), "", VLOOKUP($A8, 入力シート!$A$7:$J$1000, 4, FALSE))</f>
        <v>#REF!</v>
      </c>
      <c r="D8" s="155" t="e">
        <f>IF(ISBLANK($A8), "", VLOOKUP($A8, 入力シート!$A$7:$J$1000, 6, FALSE))</f>
        <v>#REF!</v>
      </c>
      <c r="E8" s="155" t="e">
        <f>IF(ISBLANK($A8), "", VLOOKUP($A8, 入力シート!$A$7:$J$1000, 7, FALSE))</f>
        <v>#REF!</v>
      </c>
      <c r="F8" s="150" t="e">
        <f>IF(ISBLANK($A8), "", VLOOKUP($A8, 入力シート!$A$7:$J$1000, 9, FALSE))</f>
        <v>#REF!</v>
      </c>
      <c r="G8" s="135" t="e">
        <f>IF(ISBLANK($A8), "", VLOOKUP($A8, 入力シート!$A$7:$J$1000, 8, FALSE))</f>
        <v>#REF!</v>
      </c>
      <c r="H8" s="177"/>
    </row>
    <row r="9" spans="1:15" ht="29.25" customHeight="1" x14ac:dyDescent="0.15">
      <c r="A9" s="152"/>
      <c r="B9" s="153"/>
      <c r="C9" s="160"/>
      <c r="D9" s="155"/>
      <c r="E9" s="155"/>
      <c r="F9" s="151"/>
      <c r="G9" s="115"/>
      <c r="H9" s="177"/>
      <c r="N9" s="112"/>
      <c r="O9" s="108"/>
    </row>
    <row r="10" spans="1:15" ht="29.25" customHeight="1" x14ac:dyDescent="0.15">
      <c r="A10" s="152">
        <v>3</v>
      </c>
      <c r="B10" s="153" t="e">
        <f>IF(ISBLANK($A10), "", VLOOKUP($A10, 入力シート!$A$7:$J$1000, 3, FALSE))</f>
        <v>#REF!</v>
      </c>
      <c r="C10" s="160" t="e">
        <f>IF(ISBLANK($A10), "", VLOOKUP($A10, 入力シート!$A$7:$J$1000, 4, FALSE))</f>
        <v>#REF!</v>
      </c>
      <c r="D10" s="155" t="e">
        <f>IF(ISBLANK($A10), "", VLOOKUP($A10, 入力シート!$A$7:$J$1000, 6, FALSE))</f>
        <v>#REF!</v>
      </c>
      <c r="E10" s="155" t="e">
        <f>IF(ISBLANK($A10), "", VLOOKUP($A10, 入力シート!$A$7:$J$1000, 7, FALSE))</f>
        <v>#REF!</v>
      </c>
      <c r="F10" s="150" t="e">
        <f>IF(ISBLANK($A10), "", VLOOKUP($A10, 入力シート!$A$7:$J$1000, 9, FALSE))</f>
        <v>#REF!</v>
      </c>
      <c r="G10" s="135" t="e">
        <f>IF(ISBLANK($A10), "", VLOOKUP($A10, 入力シート!$A$7:$J$1000, 8, FALSE))</f>
        <v>#REF!</v>
      </c>
      <c r="H10" s="177"/>
    </row>
    <row r="11" spans="1:15" ht="29.25" customHeight="1" x14ac:dyDescent="0.15">
      <c r="A11" s="152"/>
      <c r="B11" s="153"/>
      <c r="C11" s="160"/>
      <c r="D11" s="155"/>
      <c r="E11" s="155"/>
      <c r="F11" s="151"/>
      <c r="G11" s="115"/>
      <c r="H11" s="177"/>
      <c r="N11" s="112"/>
      <c r="O11" s="108"/>
    </row>
    <row r="12" spans="1:15" ht="29.25" customHeight="1" x14ac:dyDescent="0.15">
      <c r="A12" s="152">
        <v>4</v>
      </c>
      <c r="B12" s="153" t="e">
        <f>IF(ISBLANK($A12), "", VLOOKUP($A12, 入力シート!$A$7:$J$1000, 3, FALSE))</f>
        <v>#REF!</v>
      </c>
      <c r="C12" s="160" t="e">
        <f>IF(ISBLANK($A12), "", VLOOKUP($A12, 入力シート!$A$7:$J$1000, 4, FALSE))</f>
        <v>#REF!</v>
      </c>
      <c r="D12" s="155" t="e">
        <f>IF(ISBLANK($A12), "", VLOOKUP($A12, 入力シート!$A$7:$J$1000, 6, FALSE))</f>
        <v>#REF!</v>
      </c>
      <c r="E12" s="155" t="e">
        <f>IF(ISBLANK($A12), "", VLOOKUP($A12, 入力シート!$A$7:$J$1000, 7, FALSE))</f>
        <v>#REF!</v>
      </c>
      <c r="F12" s="150" t="e">
        <f>IF(ISBLANK($A12), "", VLOOKUP($A12, 入力シート!$A$7:$J$1000, 9, FALSE))</f>
        <v>#REF!</v>
      </c>
      <c r="G12" s="135" t="e">
        <f>IF(ISBLANK($A12), "", VLOOKUP($A12, 入力シート!$A$7:$J$1000, 8, FALSE))</f>
        <v>#REF!</v>
      </c>
      <c r="H12" s="177"/>
    </row>
    <row r="13" spans="1:15" ht="29.25" customHeight="1" x14ac:dyDescent="0.15">
      <c r="A13" s="152"/>
      <c r="B13" s="153"/>
      <c r="C13" s="160"/>
      <c r="D13" s="155"/>
      <c r="E13" s="155"/>
      <c r="F13" s="151"/>
      <c r="G13" s="115"/>
      <c r="H13" s="177"/>
      <c r="N13" s="112"/>
      <c r="O13" s="108"/>
    </row>
    <row r="14" spans="1:15" ht="29.25" customHeight="1" x14ac:dyDescent="0.15">
      <c r="A14" s="152">
        <v>5</v>
      </c>
      <c r="B14" s="153" t="e">
        <f>IF(ISBLANK($A14), "", VLOOKUP($A14, 入力シート!$A$7:$J$1000, 3, FALSE))</f>
        <v>#REF!</v>
      </c>
      <c r="C14" s="160" t="e">
        <f>IF(ISBLANK($A14), "", VLOOKUP($A14, 入力シート!$A$7:$J$1000, 4, FALSE))</f>
        <v>#REF!</v>
      </c>
      <c r="D14" s="155" t="e">
        <f>IF(ISBLANK($A14), "", VLOOKUP($A14, 入力シート!$A$7:$J$1000, 6, FALSE))</f>
        <v>#REF!</v>
      </c>
      <c r="E14" s="155" t="e">
        <f>IF(ISBLANK($A14), "", VLOOKUP($A14, 入力シート!$A$7:$J$1000, 7, FALSE))</f>
        <v>#REF!</v>
      </c>
      <c r="F14" s="150" t="e">
        <f>IF(ISBLANK($A14), "", VLOOKUP($A14, 入力シート!$A$7:$J$1000, 9, FALSE))</f>
        <v>#REF!</v>
      </c>
      <c r="G14" s="135" t="e">
        <f>IF(ISBLANK($A14), "", VLOOKUP($A14, 入力シート!$A$7:$J$1000, 8, FALSE))</f>
        <v>#REF!</v>
      </c>
      <c r="H14" s="177"/>
    </row>
    <row r="15" spans="1:15" ht="29.25" customHeight="1" x14ac:dyDescent="0.15">
      <c r="A15" s="152"/>
      <c r="B15" s="153"/>
      <c r="C15" s="160"/>
      <c r="D15" s="155"/>
      <c r="E15" s="155"/>
      <c r="F15" s="151"/>
      <c r="G15" s="115"/>
      <c r="H15" s="177"/>
      <c r="N15" s="112"/>
      <c r="O15" s="108"/>
    </row>
    <row r="16" spans="1:15" ht="29.25" customHeight="1" x14ac:dyDescent="0.15">
      <c r="A16" s="152">
        <v>6</v>
      </c>
      <c r="B16" s="153" t="e">
        <f>IF(ISBLANK($A16), "", VLOOKUP($A16, 入力シート!$A$7:$J$1000, 3, FALSE))</f>
        <v>#REF!</v>
      </c>
      <c r="C16" s="160" t="e">
        <f>IF(ISBLANK($A16), "", VLOOKUP($A16, 入力シート!$A$7:$J$1000, 4, FALSE))</f>
        <v>#REF!</v>
      </c>
      <c r="D16" s="155" t="e">
        <f>IF(ISBLANK($A16), "", VLOOKUP($A16, 入力シート!$A$7:$J$1000, 6, FALSE))</f>
        <v>#REF!</v>
      </c>
      <c r="E16" s="155" t="e">
        <f>IF(ISBLANK($A16), "", VLOOKUP($A16, 入力シート!$A$7:$J$1000, 7, FALSE))</f>
        <v>#REF!</v>
      </c>
      <c r="F16" s="150" t="e">
        <f>IF(ISBLANK($A16), "", VLOOKUP($A16, 入力シート!$A$7:$J$1000, 9, FALSE))</f>
        <v>#REF!</v>
      </c>
      <c r="G16" s="135" t="e">
        <f>IF(ISBLANK($A16), "", VLOOKUP($A16, 入力シート!$A$7:$J$1000, 8, FALSE))</f>
        <v>#REF!</v>
      </c>
      <c r="H16" s="177"/>
    </row>
    <row r="17" spans="1:15" ht="29.25" customHeight="1" x14ac:dyDescent="0.15">
      <c r="A17" s="152"/>
      <c r="B17" s="153"/>
      <c r="C17" s="160"/>
      <c r="D17" s="155"/>
      <c r="E17" s="155"/>
      <c r="F17" s="151"/>
      <c r="G17" s="115"/>
      <c r="H17" s="177"/>
      <c r="N17" s="112"/>
      <c r="O17" s="108"/>
    </row>
    <row r="18" spans="1:15" ht="29.25" customHeight="1" x14ac:dyDescent="0.15">
      <c r="A18" s="152">
        <v>7</v>
      </c>
      <c r="B18" s="153">
        <f>IF(ISBLANK($A18), "", VLOOKUP($A18, 入力シート!$A$7:$J$1000, 3, FALSE))</f>
        <v>0</v>
      </c>
      <c r="C18" s="160">
        <f>IF(ISBLANK($A18), "", VLOOKUP($A18, 入力シート!$A$7:$J$1000, 4, FALSE))</f>
        <v>0</v>
      </c>
      <c r="D18" s="155">
        <f>IF(ISBLANK($A18), "", VLOOKUP($A18, 入力シート!$A$7:$J$1000, 6, FALSE))</f>
        <v>0</v>
      </c>
      <c r="E18" s="155">
        <f>IF(ISBLANK($A18), "", VLOOKUP($A18, 入力シート!$A$7:$J$1000, 7, FALSE))</f>
        <v>0</v>
      </c>
      <c r="F18" s="150">
        <f>IF(ISBLANK($A18), "", VLOOKUP($A18, 入力シート!$A$7:$J$1000, 9, FALSE))</f>
        <v>0</v>
      </c>
      <c r="G18" s="135">
        <f>IF(ISBLANK($A18), "", VLOOKUP($A18, 入力シート!$A$7:$J$1000, 8, FALSE))</f>
        <v>0</v>
      </c>
      <c r="H18" s="177"/>
    </row>
    <row r="19" spans="1:15" ht="29.25" customHeight="1" x14ac:dyDescent="0.15">
      <c r="A19" s="152"/>
      <c r="B19" s="153"/>
      <c r="C19" s="160"/>
      <c r="D19" s="155"/>
      <c r="E19" s="155"/>
      <c r="F19" s="151"/>
      <c r="G19" s="115"/>
      <c r="H19" s="177"/>
      <c r="N19" s="112"/>
      <c r="O19" s="108"/>
    </row>
    <row r="20" spans="1:15" ht="29.25" customHeight="1" x14ac:dyDescent="0.15">
      <c r="A20" s="152">
        <v>8</v>
      </c>
      <c r="B20" s="153">
        <f>IF(ISBLANK($A20), "", VLOOKUP($A20, 入力シート!$A$7:$J$1000, 3, FALSE))</f>
        <v>0</v>
      </c>
      <c r="C20" s="160">
        <f>IF(ISBLANK($A20), "", VLOOKUP($A20, 入力シート!$A$7:$J$1000, 4, FALSE))</f>
        <v>0</v>
      </c>
      <c r="D20" s="155">
        <f>IF(ISBLANK($A20), "", VLOOKUP($A20, 入力シート!$A$7:$J$1000, 6, FALSE))</f>
        <v>0</v>
      </c>
      <c r="E20" s="155">
        <f>IF(ISBLANK($A20), "", VLOOKUP($A20, 入力シート!$A$7:$J$1000, 7, FALSE))</f>
        <v>0</v>
      </c>
      <c r="F20" s="150">
        <f>IF(ISBLANK($A20), "", VLOOKUP($A20, 入力シート!$A$7:$J$1000, 9, FALSE))</f>
        <v>0</v>
      </c>
      <c r="G20" s="135">
        <f>IF(ISBLANK($A20), "", VLOOKUP($A20, 入力シート!$A$7:$J$1000, 8, FALSE))</f>
        <v>0</v>
      </c>
      <c r="H20" s="177"/>
    </row>
    <row r="21" spans="1:15" ht="29.25" customHeight="1" x14ac:dyDescent="0.15">
      <c r="A21" s="152"/>
      <c r="B21" s="153"/>
      <c r="C21" s="160"/>
      <c r="D21" s="155"/>
      <c r="E21" s="155"/>
      <c r="F21" s="151"/>
      <c r="G21" s="115"/>
      <c r="H21" s="177"/>
      <c r="N21" s="112"/>
      <c r="O21" s="108"/>
    </row>
    <row r="22" spans="1:15" ht="29.25" customHeight="1" x14ac:dyDescent="0.15">
      <c r="A22" s="152">
        <v>9</v>
      </c>
      <c r="B22" s="153">
        <f>IF(ISBLANK($A22), "", VLOOKUP($A22, 入力シート!$A$7:$J$1000, 3, FALSE))</f>
        <v>0</v>
      </c>
      <c r="C22" s="160">
        <f>IF(ISBLANK($A22), "", VLOOKUP($A22, 入力シート!$A$7:$J$1000, 4, FALSE))</f>
        <v>0</v>
      </c>
      <c r="D22" s="155">
        <f>IF(ISBLANK($A22), "", VLOOKUP($A22, 入力シート!$A$7:$J$1000, 6, FALSE))</f>
        <v>0</v>
      </c>
      <c r="E22" s="155">
        <f>IF(ISBLANK($A22), "", VLOOKUP($A22, 入力シート!$A$7:$J$1000, 7, FALSE))</f>
        <v>0</v>
      </c>
      <c r="F22" s="150">
        <f>IF(ISBLANK($A22), "", VLOOKUP($A22, 入力シート!$A$7:$J$1000, 9, FALSE))</f>
        <v>0</v>
      </c>
      <c r="G22" s="135">
        <f>IF(ISBLANK($A22), "", VLOOKUP($A22, 入力シート!$A$7:$J$1000, 8, FALSE))</f>
        <v>0</v>
      </c>
      <c r="H22" s="177"/>
    </row>
    <row r="23" spans="1:15" ht="29.25" customHeight="1" x14ac:dyDescent="0.15">
      <c r="A23" s="152"/>
      <c r="B23" s="153"/>
      <c r="C23" s="160"/>
      <c r="D23" s="155"/>
      <c r="E23" s="155"/>
      <c r="F23" s="151"/>
      <c r="G23" s="115"/>
      <c r="H23" s="177"/>
      <c r="N23" s="112"/>
      <c r="O23" s="108"/>
    </row>
    <row r="24" spans="1:15" ht="29.25" customHeight="1" x14ac:dyDescent="0.15">
      <c r="A24" s="152">
        <v>10</v>
      </c>
      <c r="B24" s="153">
        <f>IF(ISBLANK($A24), "", VLOOKUP($A24, 入力シート!$A$7:$J$1000, 3, FALSE))</f>
        <v>0</v>
      </c>
      <c r="C24" s="160">
        <f>IF(ISBLANK($A24), "", VLOOKUP($A24, 入力シート!$A$7:$J$1000, 4, FALSE))</f>
        <v>0</v>
      </c>
      <c r="D24" s="155">
        <f>IF(ISBLANK($A24), "", VLOOKUP($A24, 入力シート!$A$7:$J$1000, 6, FALSE))</f>
        <v>0</v>
      </c>
      <c r="E24" s="155">
        <f>IF(ISBLANK($A24), "", VLOOKUP($A24, 入力シート!$A$7:$J$1000, 7, FALSE))</f>
        <v>0</v>
      </c>
      <c r="F24" s="150">
        <f>IF(ISBLANK($A24), "", VLOOKUP($A24, 入力シート!$A$7:$J$1000, 9, FALSE))</f>
        <v>0</v>
      </c>
      <c r="G24" s="135">
        <f>IF(ISBLANK($A24), "", VLOOKUP($A24, 入力シート!$A$7:$J$1000, 8, FALSE))</f>
        <v>0</v>
      </c>
      <c r="H24" s="177"/>
    </row>
    <row r="25" spans="1:15" ht="29.25" customHeight="1" x14ac:dyDescent="0.15">
      <c r="A25" s="152"/>
      <c r="B25" s="153"/>
      <c r="C25" s="160"/>
      <c r="D25" s="155"/>
      <c r="E25" s="155"/>
      <c r="F25" s="151"/>
      <c r="G25" s="115"/>
      <c r="H25" s="177"/>
      <c r="N25" s="112"/>
      <c r="O25" s="108"/>
    </row>
    <row r="26" spans="1:15" ht="29.25" customHeight="1" x14ac:dyDescent="0.15">
      <c r="A26" s="152">
        <v>11</v>
      </c>
      <c r="B26" s="153">
        <f>IF(ISBLANK($A26), "", VLOOKUP($A26, 入力シート!$A$7:$J$1000, 3, FALSE))</f>
        <v>0</v>
      </c>
      <c r="C26" s="160">
        <f>IF(ISBLANK($A26), "", VLOOKUP($A26, 入力シート!$A$7:$J$1000, 4, FALSE))</f>
        <v>0</v>
      </c>
      <c r="D26" s="155">
        <f>IF(ISBLANK($A26), "", VLOOKUP($A26, 入力シート!$A$7:$J$1000, 6, FALSE))</f>
        <v>0</v>
      </c>
      <c r="E26" s="155">
        <f>IF(ISBLANK($A26), "", VLOOKUP($A26, 入力シート!$A$7:$J$1000, 7, FALSE))</f>
        <v>0</v>
      </c>
      <c r="F26" s="150">
        <f>IF(ISBLANK($A26), "", VLOOKUP($A26, 入力シート!$A$7:$J$1000, 9, FALSE))</f>
        <v>0</v>
      </c>
      <c r="G26" s="135">
        <f>IF(ISBLANK($A26), "", VLOOKUP($A26, 入力シート!$A$7:$J$1000, 8, FALSE))</f>
        <v>0</v>
      </c>
      <c r="H26" s="177"/>
    </row>
    <row r="27" spans="1:15" ht="29.25" customHeight="1" x14ac:dyDescent="0.15">
      <c r="A27" s="152"/>
      <c r="B27" s="153"/>
      <c r="C27" s="160"/>
      <c r="D27" s="155"/>
      <c r="E27" s="155"/>
      <c r="F27" s="151"/>
      <c r="G27" s="115"/>
      <c r="H27" s="177"/>
    </row>
    <row r="28" spans="1:15" x14ac:dyDescent="0.15">
      <c r="G28" s="108"/>
      <c r="I28" s="106"/>
    </row>
    <row r="29" spans="1:15" x14ac:dyDescent="0.15">
      <c r="G29" s="108"/>
      <c r="I29" s="106"/>
    </row>
    <row r="30" spans="1:15" x14ac:dyDescent="0.15">
      <c r="G30" s="108"/>
      <c r="I30" s="106"/>
    </row>
    <row r="31" spans="1:15" x14ac:dyDescent="0.15">
      <c r="G31" s="108"/>
      <c r="I31" s="106"/>
    </row>
    <row r="32" spans="1:15" x14ac:dyDescent="0.15">
      <c r="G32" s="108"/>
      <c r="I32" s="106"/>
    </row>
    <row r="33" spans="7:9" x14ac:dyDescent="0.15">
      <c r="G33" s="108"/>
      <c r="I33" s="106"/>
    </row>
  </sheetData>
  <mergeCells count="86">
    <mergeCell ref="H26:H27"/>
    <mergeCell ref="A26:A27"/>
    <mergeCell ref="B26:B27"/>
    <mergeCell ref="C26:C27"/>
    <mergeCell ref="D26:D27"/>
    <mergeCell ref="E26:E27"/>
    <mergeCell ref="F26:F27"/>
    <mergeCell ref="H22:H23"/>
    <mergeCell ref="A24:A25"/>
    <mergeCell ref="B24:B25"/>
    <mergeCell ref="C24:C25"/>
    <mergeCell ref="D24:D25"/>
    <mergeCell ref="E24:E25"/>
    <mergeCell ref="F24:F25"/>
    <mergeCell ref="H24:H25"/>
    <mergeCell ref="A22:A23"/>
    <mergeCell ref="B22:B23"/>
    <mergeCell ref="C22:C23"/>
    <mergeCell ref="D22:D23"/>
    <mergeCell ref="E22:E23"/>
    <mergeCell ref="F22:F23"/>
    <mergeCell ref="H18:H19"/>
    <mergeCell ref="A20:A21"/>
    <mergeCell ref="B20:B21"/>
    <mergeCell ref="C20:C21"/>
    <mergeCell ref="D20:D21"/>
    <mergeCell ref="E20:E21"/>
    <mergeCell ref="F20:F21"/>
    <mergeCell ref="H20:H21"/>
    <mergeCell ref="A18:A19"/>
    <mergeCell ref="B18:B19"/>
    <mergeCell ref="C18:C19"/>
    <mergeCell ref="D18:D19"/>
    <mergeCell ref="E18:E19"/>
    <mergeCell ref="F18:F19"/>
    <mergeCell ref="H14:H15"/>
    <mergeCell ref="A16:A17"/>
    <mergeCell ref="B16:B17"/>
    <mergeCell ref="C16:C17"/>
    <mergeCell ref="D16:D17"/>
    <mergeCell ref="E16:E17"/>
    <mergeCell ref="F16:F17"/>
    <mergeCell ref="H16:H17"/>
    <mergeCell ref="A14:A15"/>
    <mergeCell ref="B14:B15"/>
    <mergeCell ref="C14:C15"/>
    <mergeCell ref="D14:D15"/>
    <mergeCell ref="E14:E15"/>
    <mergeCell ref="F14:F15"/>
    <mergeCell ref="H10:H11"/>
    <mergeCell ref="A12:A13"/>
    <mergeCell ref="B12:B13"/>
    <mergeCell ref="C12:C13"/>
    <mergeCell ref="D12:D13"/>
    <mergeCell ref="E12:E13"/>
    <mergeCell ref="F12:F13"/>
    <mergeCell ref="H12:H13"/>
    <mergeCell ref="A10:A11"/>
    <mergeCell ref="B10:B11"/>
    <mergeCell ref="C10:C11"/>
    <mergeCell ref="D10:D11"/>
    <mergeCell ref="E10:E11"/>
    <mergeCell ref="F10:F11"/>
    <mergeCell ref="H6:H7"/>
    <mergeCell ref="A8:A9"/>
    <mergeCell ref="B8:B9"/>
    <mergeCell ref="C8:C9"/>
    <mergeCell ref="D8:D9"/>
    <mergeCell ref="E8:E9"/>
    <mergeCell ref="F8:F9"/>
    <mergeCell ref="H8:H9"/>
    <mergeCell ref="A6:A7"/>
    <mergeCell ref="B6:B7"/>
    <mergeCell ref="C6:C7"/>
    <mergeCell ref="D6:D7"/>
    <mergeCell ref="E6:E7"/>
    <mergeCell ref="F6:F7"/>
    <mergeCell ref="B1:H1"/>
    <mergeCell ref="G2:H2"/>
    <mergeCell ref="G3:H3"/>
    <mergeCell ref="B4:B5"/>
    <mergeCell ref="C4:C5"/>
    <mergeCell ref="D4:D5"/>
    <mergeCell ref="E4:E5"/>
    <mergeCell ref="F4:F5"/>
    <mergeCell ref="H4:H5"/>
  </mergeCells>
  <phoneticPr fontId="2"/>
  <dataValidations count="1">
    <dataValidation type="list" allowBlank="1" showInputMessage="1" showErrorMessage="1" sqref="G3:H3" xr:uid="{6AF890F8-40EA-4EEF-889A-66406BFA0AFB}">
      <formula1>$L$3:$L$4</formula1>
    </dataValidation>
  </dataValidations>
  <printOptions horizontalCentered="1"/>
  <pageMargins left="0.59055118110236227" right="0.31" top="0.98425196850393704" bottom="0.7" header="0.51181102362204722" footer="0.51181102362204722"/>
  <pageSetup paperSize="9" orientation="portrait" horizontalDpi="4294967292" verticalDpi="12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F055A-004B-4234-A520-86E85DC73302}">
  <dimension ref="A1:O33"/>
  <sheetViews>
    <sheetView showZeros="0" workbookViewId="0">
      <selection activeCell="C4" sqref="C4:C30"/>
    </sheetView>
  </sheetViews>
  <sheetFormatPr defaultRowHeight="13.5" x14ac:dyDescent="0.15"/>
  <cols>
    <col min="1" max="1" width="9" style="106"/>
    <col min="2" max="2" width="18.625" style="106" customWidth="1"/>
    <col min="3" max="3" width="8.625" style="108" customWidth="1"/>
    <col min="4" max="5" width="8.625" style="106" customWidth="1"/>
    <col min="6" max="6" width="10.625" style="106" customWidth="1"/>
    <col min="7" max="7" width="27.125" style="106" customWidth="1"/>
    <col min="8" max="8" width="13.125" style="106" customWidth="1"/>
    <col min="9" max="9" width="10" style="108" customWidth="1"/>
    <col min="10" max="11" width="10" style="106" customWidth="1"/>
    <col min="12" max="12" width="27.5" style="106" customWidth="1"/>
    <col min="13" max="13" width="12.5" style="106" customWidth="1"/>
    <col min="14" max="14" width="28.75" style="106" customWidth="1"/>
    <col min="15" max="15" width="15.375" style="106" customWidth="1"/>
    <col min="16" max="16384" width="9" style="106"/>
  </cols>
  <sheetData>
    <row r="1" spans="1:15" ht="34.5" customHeight="1" x14ac:dyDescent="0.15">
      <c r="B1" s="147" t="s">
        <v>21</v>
      </c>
      <c r="C1" s="147"/>
      <c r="D1" s="147"/>
      <c r="E1" s="147"/>
      <c r="F1" s="147"/>
      <c r="G1" s="147"/>
      <c r="H1" s="147"/>
      <c r="I1" s="107"/>
      <c r="J1" s="107"/>
      <c r="K1" s="107"/>
      <c r="L1" s="107"/>
      <c r="M1" s="107"/>
      <c r="N1" s="107"/>
      <c r="O1" s="107"/>
    </row>
    <row r="2" spans="1:15" ht="21" customHeight="1" x14ac:dyDescent="0.15">
      <c r="B2" s="107"/>
      <c r="C2" s="107"/>
      <c r="D2" s="107"/>
      <c r="E2" s="107"/>
      <c r="G2" s="178">
        <f ca="1">TODAY()</f>
        <v>45779</v>
      </c>
      <c r="H2" s="178"/>
      <c r="I2" s="107"/>
      <c r="J2" s="107"/>
      <c r="K2" s="107"/>
      <c r="L2" s="107"/>
      <c r="M2" s="107"/>
      <c r="N2" s="107"/>
      <c r="O2" s="107"/>
    </row>
    <row r="3" spans="1:15" ht="21" customHeight="1" x14ac:dyDescent="0.15">
      <c r="G3" s="179"/>
      <c r="H3" s="179"/>
      <c r="L3" s="109"/>
      <c r="M3" s="109"/>
      <c r="N3" s="109"/>
      <c r="O3" s="109"/>
    </row>
    <row r="4" spans="1:15" ht="27.75" customHeight="1" x14ac:dyDescent="0.15">
      <c r="B4" s="148" t="s">
        <v>18</v>
      </c>
      <c r="C4" s="148" t="s">
        <v>2</v>
      </c>
      <c r="D4" s="148" t="s">
        <v>3</v>
      </c>
      <c r="E4" s="148" t="s">
        <v>4</v>
      </c>
      <c r="F4" s="148" t="s">
        <v>20</v>
      </c>
      <c r="G4" s="110" t="s">
        <v>19</v>
      </c>
      <c r="H4" s="149" t="s">
        <v>148</v>
      </c>
      <c r="I4" s="111"/>
      <c r="J4" s="111"/>
      <c r="K4" s="111"/>
      <c r="L4" s="111"/>
      <c r="M4" s="111"/>
      <c r="N4" s="111"/>
      <c r="O4" s="111"/>
    </row>
    <row r="5" spans="1:15" ht="27.75" customHeight="1" x14ac:dyDescent="0.15">
      <c r="B5" s="148"/>
      <c r="C5" s="148"/>
      <c r="D5" s="148"/>
      <c r="E5" s="148"/>
      <c r="F5" s="148"/>
      <c r="G5" s="110" t="s">
        <v>40</v>
      </c>
      <c r="H5" s="149"/>
      <c r="N5" s="112"/>
      <c r="O5" s="108"/>
    </row>
    <row r="6" spans="1:15" ht="29.25" customHeight="1" x14ac:dyDescent="0.15">
      <c r="A6" s="152">
        <v>1</v>
      </c>
      <c r="B6" s="153" t="e">
        <f>IF(ISBLANK($A6), "", VLOOKUP($A6, 入力シート!$A$7:$J$1000, 3, FALSE))</f>
        <v>#REF!</v>
      </c>
      <c r="C6" s="160" t="e">
        <f>IF(ISBLANK($A6), "", VLOOKUP($A6, 入力シート!$A$7:$J$1000, 4, FALSE))</f>
        <v>#REF!</v>
      </c>
      <c r="D6" s="155" t="e">
        <f>IF(ISBLANK($A6), "", VLOOKUP($A6, 入力シート!$A$7:$J$1000, 6, FALSE))</f>
        <v>#REF!</v>
      </c>
      <c r="E6" s="155" t="e">
        <f>IF(ISBLANK($A6), "", VLOOKUP($A6, 入力シート!$A$7:$J$1000, 7, FALSE))</f>
        <v>#REF!</v>
      </c>
      <c r="F6" s="150" t="e">
        <f>IF(ISBLANK($A6), "", VLOOKUP($A6, 入力シート!$A$7:$J$1000, 9, FALSE))</f>
        <v>#REF!</v>
      </c>
      <c r="G6" s="126" t="e">
        <f>IF(ISBLANK($A6), "", VLOOKUP($A6, 入力シート!$A$7:$J$1000, 8, FALSE))</f>
        <v>#REF!</v>
      </c>
      <c r="H6" s="156" t="e">
        <f>IF(ISBLANK($A6), "", VLOOKUP($A6, 入力シート!$A$7:$J$1000, 10, FALSE))</f>
        <v>#REF!</v>
      </c>
    </row>
    <row r="7" spans="1:15" ht="29.25" customHeight="1" x14ac:dyDescent="0.15">
      <c r="A7" s="152"/>
      <c r="B7" s="153"/>
      <c r="C7" s="160"/>
      <c r="D7" s="155"/>
      <c r="E7" s="155"/>
      <c r="F7" s="151"/>
      <c r="G7" s="128"/>
      <c r="H7" s="156"/>
      <c r="N7" s="112"/>
      <c r="O7" s="108"/>
    </row>
    <row r="8" spans="1:15" ht="29.25" customHeight="1" x14ac:dyDescent="0.15">
      <c r="A8" s="152">
        <v>2</v>
      </c>
      <c r="B8" s="153" t="e">
        <f>IF(ISBLANK($A8), "", VLOOKUP($A8, 入力シート!$A$7:$J$1000, 3, FALSE))</f>
        <v>#REF!</v>
      </c>
      <c r="C8" s="160" t="e">
        <f>IF(ISBLANK($A8), "", VLOOKUP($A8, 入力シート!$A$7:$J$1000, 4, FALSE))</f>
        <v>#REF!</v>
      </c>
      <c r="D8" s="155" t="e">
        <f>IF(ISBLANK($A8), "", VLOOKUP($A8, 入力シート!$A$7:$J$1000, 6, FALSE))</f>
        <v>#REF!</v>
      </c>
      <c r="E8" s="155" t="e">
        <f>IF(ISBLANK($A8), "", VLOOKUP($A8, 入力シート!$A$7:$J$1000, 7, FALSE))</f>
        <v>#REF!</v>
      </c>
      <c r="F8" s="150" t="e">
        <f>IF(ISBLANK($A8), "", VLOOKUP($A8, 入力シート!$A$7:$J$1000, 9, FALSE))</f>
        <v>#REF!</v>
      </c>
      <c r="G8" s="126" t="e">
        <f>IF(ISBLANK($A8), "", VLOOKUP($A8, 入力シート!$A$7:$J$1000, 8, FALSE))</f>
        <v>#REF!</v>
      </c>
      <c r="H8" s="156" t="e">
        <f>IF(ISBLANK($A8), "", VLOOKUP($A8, 入力シート!$A$7:$J$1000, 10, FALSE))</f>
        <v>#REF!</v>
      </c>
    </row>
    <row r="9" spans="1:15" ht="29.25" customHeight="1" x14ac:dyDescent="0.15">
      <c r="A9" s="152"/>
      <c r="B9" s="153"/>
      <c r="C9" s="160"/>
      <c r="D9" s="155"/>
      <c r="E9" s="155"/>
      <c r="F9" s="151"/>
      <c r="G9" s="128"/>
      <c r="H9" s="156"/>
      <c r="N9" s="112"/>
      <c r="O9" s="108"/>
    </row>
    <row r="10" spans="1:15" ht="29.25" customHeight="1" x14ac:dyDescent="0.15">
      <c r="A10" s="152">
        <v>3</v>
      </c>
      <c r="B10" s="153" t="e">
        <f>IF(ISBLANK($A10), "", VLOOKUP($A10, 入力シート!$A$7:$J$1000, 3, FALSE))</f>
        <v>#REF!</v>
      </c>
      <c r="C10" s="160" t="e">
        <f>IF(ISBLANK($A10), "", VLOOKUP($A10, 入力シート!$A$7:$J$1000, 4, FALSE))</f>
        <v>#REF!</v>
      </c>
      <c r="D10" s="155" t="e">
        <f>IF(ISBLANK($A10), "", VLOOKUP($A10, 入力シート!$A$7:$J$1000, 6, FALSE))</f>
        <v>#REF!</v>
      </c>
      <c r="E10" s="155" t="e">
        <f>IF(ISBLANK($A10), "", VLOOKUP($A10, 入力シート!$A$7:$J$1000, 7, FALSE))</f>
        <v>#REF!</v>
      </c>
      <c r="F10" s="150" t="e">
        <f>IF(ISBLANK($A10), "", VLOOKUP($A10, 入力シート!$A$7:$J$1000, 9, FALSE))</f>
        <v>#REF!</v>
      </c>
      <c r="G10" s="126" t="e">
        <f>IF(ISBLANK($A10), "", VLOOKUP($A10, 入力シート!$A$7:$J$1000, 8, FALSE))</f>
        <v>#REF!</v>
      </c>
      <c r="H10" s="156" t="e">
        <f>IF(ISBLANK($A10), "", VLOOKUP($A10, 入力シート!$A$7:$J$1000, 10, FALSE))</f>
        <v>#REF!</v>
      </c>
    </row>
    <row r="11" spans="1:15" ht="29.25" customHeight="1" x14ac:dyDescent="0.15">
      <c r="A11" s="152"/>
      <c r="B11" s="153"/>
      <c r="C11" s="160"/>
      <c r="D11" s="155"/>
      <c r="E11" s="155"/>
      <c r="F11" s="151"/>
      <c r="G11" s="128"/>
      <c r="H11" s="156"/>
      <c r="N11" s="112"/>
      <c r="O11" s="108"/>
    </row>
    <row r="12" spans="1:15" ht="29.25" customHeight="1" x14ac:dyDescent="0.15">
      <c r="A12" s="152">
        <v>4</v>
      </c>
      <c r="B12" s="153" t="e">
        <f>IF(ISBLANK($A12), "", VLOOKUP($A12, 入力シート!$A$7:$J$1000, 3, FALSE))</f>
        <v>#REF!</v>
      </c>
      <c r="C12" s="160" t="e">
        <f>IF(ISBLANK($A12), "", VLOOKUP($A12, 入力シート!$A$7:$J$1000, 4, FALSE))</f>
        <v>#REF!</v>
      </c>
      <c r="D12" s="155" t="e">
        <f>IF(ISBLANK($A12), "", VLOOKUP($A12, 入力シート!$A$7:$J$1000, 6, FALSE))</f>
        <v>#REF!</v>
      </c>
      <c r="E12" s="155" t="e">
        <f>IF(ISBLANK($A12), "", VLOOKUP($A12, 入力シート!$A$7:$J$1000, 7, FALSE))</f>
        <v>#REF!</v>
      </c>
      <c r="F12" s="150" t="e">
        <f>IF(ISBLANK($A12), "", VLOOKUP($A12, 入力シート!$A$7:$J$1000, 9, FALSE))</f>
        <v>#REF!</v>
      </c>
      <c r="G12" s="126" t="e">
        <f>IF(ISBLANK($A12), "", VLOOKUP($A12, 入力シート!$A$7:$J$1000, 8, FALSE))</f>
        <v>#REF!</v>
      </c>
      <c r="H12" s="156" t="e">
        <f>IF(ISBLANK($A12), "", VLOOKUP($A12, 入力シート!$A$7:$J$1000, 10, FALSE))</f>
        <v>#REF!</v>
      </c>
    </row>
    <row r="13" spans="1:15" ht="29.25" customHeight="1" x14ac:dyDescent="0.15">
      <c r="A13" s="152"/>
      <c r="B13" s="153"/>
      <c r="C13" s="160"/>
      <c r="D13" s="155"/>
      <c r="E13" s="155"/>
      <c r="F13" s="151"/>
      <c r="G13" s="128"/>
      <c r="H13" s="156"/>
      <c r="N13" s="112"/>
      <c r="O13" s="108"/>
    </row>
    <row r="14" spans="1:15" ht="29.25" customHeight="1" x14ac:dyDescent="0.15">
      <c r="A14" s="152">
        <v>5</v>
      </c>
      <c r="B14" s="153" t="e">
        <f>IF(ISBLANK($A14), "", VLOOKUP($A14, 入力シート!$A$7:$J$1000, 3, FALSE))</f>
        <v>#REF!</v>
      </c>
      <c r="C14" s="160" t="e">
        <f>IF(ISBLANK($A14), "", VLOOKUP($A14, 入力シート!$A$7:$J$1000, 4, FALSE))</f>
        <v>#REF!</v>
      </c>
      <c r="D14" s="155" t="e">
        <f>IF(ISBLANK($A14), "", VLOOKUP($A14, 入力シート!$A$7:$J$1000, 6, FALSE))</f>
        <v>#REF!</v>
      </c>
      <c r="E14" s="155" t="e">
        <f>IF(ISBLANK($A14), "", VLOOKUP($A14, 入力シート!$A$7:$J$1000, 7, FALSE))</f>
        <v>#REF!</v>
      </c>
      <c r="F14" s="150" t="e">
        <f>IF(ISBLANK($A14), "", VLOOKUP($A14, 入力シート!$A$7:$J$1000, 9, FALSE))</f>
        <v>#REF!</v>
      </c>
      <c r="G14" s="129" t="e">
        <f>IF(ISBLANK($A14), "", VLOOKUP($A14, 入力シート!$A$7:$J$1000, 8, FALSE))</f>
        <v>#REF!</v>
      </c>
      <c r="H14" s="156" t="e">
        <f>IF(ISBLANK($A14), "", VLOOKUP($A14, 入力シート!$A$7:$J$1000, 10, FALSE))</f>
        <v>#REF!</v>
      </c>
    </row>
    <row r="15" spans="1:15" ht="29.25" customHeight="1" x14ac:dyDescent="0.15">
      <c r="A15" s="152"/>
      <c r="B15" s="153"/>
      <c r="C15" s="160"/>
      <c r="D15" s="155"/>
      <c r="E15" s="155"/>
      <c r="F15" s="151"/>
      <c r="G15" s="128"/>
      <c r="H15" s="156"/>
      <c r="N15" s="112"/>
      <c r="O15" s="108"/>
    </row>
    <row r="16" spans="1:15" ht="29.25" customHeight="1" x14ac:dyDescent="0.15">
      <c r="A16" s="152">
        <v>6</v>
      </c>
      <c r="B16" s="153" t="e">
        <f>IF(ISBLANK($A16), "", VLOOKUP($A16, 入力シート!$A$7:$J$1000, 3, FALSE))</f>
        <v>#REF!</v>
      </c>
      <c r="C16" s="160" t="e">
        <f>IF(ISBLANK($A16), "", VLOOKUP($A16, 入力シート!$A$7:$J$1000, 4, FALSE))</f>
        <v>#REF!</v>
      </c>
      <c r="D16" s="155" t="e">
        <f>IF(ISBLANK($A16), "", VLOOKUP($A16, 入力シート!$A$7:$J$1000, 6, FALSE))</f>
        <v>#REF!</v>
      </c>
      <c r="E16" s="155" t="e">
        <f>IF(ISBLANK($A16), "", VLOOKUP($A16, 入力シート!$A$7:$J$1000, 7, FALSE))</f>
        <v>#REF!</v>
      </c>
      <c r="F16" s="150" t="e">
        <f>IF(ISBLANK($A16), "", VLOOKUP($A16, 入力シート!$A$7:$J$1000, 9, FALSE))</f>
        <v>#REF!</v>
      </c>
      <c r="G16" s="129" t="e">
        <f>IF(ISBLANK($A16), "", VLOOKUP($A16, 入力シート!$A$7:$J$1000, 8, FALSE))</f>
        <v>#REF!</v>
      </c>
      <c r="H16" s="156" t="e">
        <f>IF(ISBLANK($A16), "", VLOOKUP($A16, 入力シート!$A$7:$J$1000, 10, FALSE))</f>
        <v>#REF!</v>
      </c>
    </row>
    <row r="17" spans="1:15" ht="29.25" customHeight="1" x14ac:dyDescent="0.15">
      <c r="A17" s="152"/>
      <c r="B17" s="153"/>
      <c r="C17" s="160"/>
      <c r="D17" s="155"/>
      <c r="E17" s="155"/>
      <c r="F17" s="151"/>
      <c r="G17" s="128"/>
      <c r="H17" s="156"/>
      <c r="N17" s="112"/>
      <c r="O17" s="108"/>
    </row>
    <row r="18" spans="1:15" ht="29.25" customHeight="1" x14ac:dyDescent="0.15">
      <c r="A18" s="152">
        <v>7</v>
      </c>
      <c r="B18" s="153">
        <f>IF(ISBLANK($A18), "", VLOOKUP($A18, 入力シート!$A$7:$J$1000, 3, FALSE))</f>
        <v>0</v>
      </c>
      <c r="C18" s="160">
        <f>IF(ISBLANK($A18), "", VLOOKUP($A18, 入力シート!$A$7:$J$1000, 4, FALSE))</f>
        <v>0</v>
      </c>
      <c r="D18" s="155">
        <f>IF(ISBLANK($A18), "", VLOOKUP($A18, 入力シート!$A$7:$J$1000, 6, FALSE))</f>
        <v>0</v>
      </c>
      <c r="E18" s="155">
        <f>IF(ISBLANK($A18), "", VLOOKUP($A18, 入力シート!$A$7:$J$1000, 7, FALSE))</f>
        <v>0</v>
      </c>
      <c r="F18" s="150">
        <f>IF(ISBLANK($A18), "", VLOOKUP($A18, 入力シート!$A$7:$J$1000, 9, FALSE))</f>
        <v>0</v>
      </c>
      <c r="G18" s="129">
        <f>IF(ISBLANK($A18), "", VLOOKUP($A18, 入力シート!$A$7:$J$1000, 8, FALSE))</f>
        <v>0</v>
      </c>
      <c r="H18" s="156">
        <f>IF(ISBLANK($A18), "", VLOOKUP($A18, 入力シート!$A$7:$J$1000, 10, FALSE))</f>
        <v>0</v>
      </c>
    </row>
    <row r="19" spans="1:15" ht="29.25" customHeight="1" x14ac:dyDescent="0.15">
      <c r="A19" s="152"/>
      <c r="B19" s="153"/>
      <c r="C19" s="160"/>
      <c r="D19" s="155"/>
      <c r="E19" s="155"/>
      <c r="F19" s="151"/>
      <c r="G19" s="128"/>
      <c r="H19" s="156"/>
      <c r="N19" s="112"/>
      <c r="O19" s="108"/>
    </row>
    <row r="20" spans="1:15" ht="29.25" customHeight="1" x14ac:dyDescent="0.15">
      <c r="A20" s="152">
        <v>8</v>
      </c>
      <c r="B20" s="153">
        <f>IF(ISBLANK($A20), "", VLOOKUP($A20, 入力シート!$A$7:$J$1000, 3, FALSE))</f>
        <v>0</v>
      </c>
      <c r="C20" s="160">
        <f>IF(ISBLANK($A20), "", VLOOKUP($A20, 入力シート!$A$7:$J$1000, 4, FALSE))</f>
        <v>0</v>
      </c>
      <c r="D20" s="155">
        <f>IF(ISBLANK($A20), "", VLOOKUP($A20, 入力シート!$A$7:$J$1000, 6, FALSE))</f>
        <v>0</v>
      </c>
      <c r="E20" s="155">
        <f>IF(ISBLANK($A20), "", VLOOKUP($A20, 入力シート!$A$7:$J$1000, 7, FALSE))</f>
        <v>0</v>
      </c>
      <c r="F20" s="150">
        <f>IF(ISBLANK($A20), "", VLOOKUP($A20, 入力シート!$A$7:$J$1000, 9, FALSE))</f>
        <v>0</v>
      </c>
      <c r="G20" s="129">
        <f>IF(ISBLANK($A20), "", VLOOKUP($A20, 入力シート!$A$7:$J$1000, 8, FALSE))</f>
        <v>0</v>
      </c>
      <c r="H20" s="156">
        <f>IF(ISBLANK($A20), "", VLOOKUP($A20, 入力シート!$A$7:$J$1000, 10, FALSE))</f>
        <v>0</v>
      </c>
    </row>
    <row r="21" spans="1:15" ht="29.25" customHeight="1" x14ac:dyDescent="0.15">
      <c r="A21" s="152"/>
      <c r="B21" s="153"/>
      <c r="C21" s="160"/>
      <c r="D21" s="155"/>
      <c r="E21" s="155"/>
      <c r="F21" s="151"/>
      <c r="G21" s="128"/>
      <c r="H21" s="156"/>
      <c r="N21" s="112"/>
      <c r="O21" s="108"/>
    </row>
    <row r="22" spans="1:15" ht="29.25" customHeight="1" x14ac:dyDescent="0.15">
      <c r="A22" s="152">
        <v>9</v>
      </c>
      <c r="B22" s="153">
        <f>IF(ISBLANK($A22), "", VLOOKUP($A22, 入力シート!$A$7:$J$1000, 3, FALSE))</f>
        <v>0</v>
      </c>
      <c r="C22" s="160">
        <f>IF(ISBLANK($A22), "", VLOOKUP($A22, 入力シート!$A$7:$J$1000, 4, FALSE))</f>
        <v>0</v>
      </c>
      <c r="D22" s="155">
        <f>IF(ISBLANK($A22), "", VLOOKUP($A22, 入力シート!$A$7:$J$1000, 6, FALSE))</f>
        <v>0</v>
      </c>
      <c r="E22" s="155">
        <f>IF(ISBLANK($A22), "", VLOOKUP($A22, 入力シート!$A$7:$J$1000, 7, FALSE))</f>
        <v>0</v>
      </c>
      <c r="F22" s="150">
        <f>IF(ISBLANK($A22), "", VLOOKUP($A22, 入力シート!$A$7:$J$1000, 9, FALSE))</f>
        <v>0</v>
      </c>
      <c r="G22" s="129">
        <f>IF(ISBLANK($A22), "", VLOOKUP($A22, 入力シート!$A$7:$J$1000, 8, FALSE))</f>
        <v>0</v>
      </c>
      <c r="H22" s="156">
        <f>IF(ISBLANK($A22), "", VLOOKUP($A22, 入力シート!$A$7:$J$1000, 10, FALSE))</f>
        <v>0</v>
      </c>
    </row>
    <row r="23" spans="1:15" ht="29.25" customHeight="1" x14ac:dyDescent="0.15">
      <c r="A23" s="152"/>
      <c r="B23" s="153"/>
      <c r="C23" s="160"/>
      <c r="D23" s="155"/>
      <c r="E23" s="155"/>
      <c r="F23" s="151"/>
      <c r="G23" s="128"/>
      <c r="H23" s="156"/>
      <c r="N23" s="112"/>
      <c r="O23" s="108"/>
    </row>
    <row r="24" spans="1:15" ht="29.25" customHeight="1" x14ac:dyDescent="0.15">
      <c r="A24" s="152">
        <v>10</v>
      </c>
      <c r="B24" s="153">
        <f>IF(ISBLANK($A24), "", VLOOKUP($A24, 入力シート!$A$7:$J$1000, 3, FALSE))</f>
        <v>0</v>
      </c>
      <c r="C24" s="160">
        <f>IF(ISBLANK($A24), "", VLOOKUP($A24, 入力シート!$A$7:$J$1000, 4, FALSE))</f>
        <v>0</v>
      </c>
      <c r="D24" s="155">
        <f>IF(ISBLANK($A24), "", VLOOKUP($A24, 入力シート!$A$7:$J$1000, 6, FALSE))</f>
        <v>0</v>
      </c>
      <c r="E24" s="155">
        <f>IF(ISBLANK($A24), "", VLOOKUP($A24, 入力シート!$A$7:$J$1000, 7, FALSE))</f>
        <v>0</v>
      </c>
      <c r="F24" s="150">
        <f>IF(ISBLANK($A24), "", VLOOKUP($A24, 入力シート!$A$7:$J$1000, 9, FALSE))</f>
        <v>0</v>
      </c>
      <c r="G24" s="129">
        <f>IF(ISBLANK($A24), "", VLOOKUP($A24, 入力シート!$A$7:$J$1000, 8, FALSE))</f>
        <v>0</v>
      </c>
      <c r="H24" s="156">
        <f>IF(ISBLANK($A24), "", VLOOKUP($A24, 入力シート!$A$7:$J$1000, 10, FALSE))</f>
        <v>0</v>
      </c>
    </row>
    <row r="25" spans="1:15" ht="29.25" customHeight="1" x14ac:dyDescent="0.15">
      <c r="A25" s="152"/>
      <c r="B25" s="153"/>
      <c r="C25" s="160"/>
      <c r="D25" s="155"/>
      <c r="E25" s="155"/>
      <c r="F25" s="151"/>
      <c r="G25" s="128"/>
      <c r="H25" s="156"/>
      <c r="N25" s="112"/>
      <c r="O25" s="108"/>
    </row>
    <row r="26" spans="1:15" ht="29.25" customHeight="1" x14ac:dyDescent="0.15">
      <c r="A26" s="152">
        <v>11</v>
      </c>
      <c r="B26" s="153">
        <f>IF(ISBLANK($A26), "", VLOOKUP($A26, 入力シート!$A$7:$J$1000, 3, FALSE))</f>
        <v>0</v>
      </c>
      <c r="C26" s="160">
        <f>IF(ISBLANK($A26), "", VLOOKUP($A26, 入力シート!$A$7:$J$1000, 4, FALSE))</f>
        <v>0</v>
      </c>
      <c r="D26" s="155">
        <f>IF(ISBLANK($A26), "", VLOOKUP($A26, 入力シート!$A$7:$J$1000, 6, FALSE))</f>
        <v>0</v>
      </c>
      <c r="E26" s="155">
        <f>IF(ISBLANK($A26), "", VLOOKUP($A26, 入力シート!$A$7:$J$1000, 7, FALSE))</f>
        <v>0</v>
      </c>
      <c r="F26" s="150">
        <f>IF(ISBLANK($A26), "", VLOOKUP($A26, 入力シート!$A$7:$J$1000, 9, FALSE))</f>
        <v>0</v>
      </c>
      <c r="G26" s="129">
        <f>IF(ISBLANK($A26), "", VLOOKUP($A26, 入力シート!$A$7:$J$1000, 8, FALSE))</f>
        <v>0</v>
      </c>
      <c r="H26" s="156">
        <f>IF(ISBLANK($A26), "", VLOOKUP($A26, 入力シート!$A$7:$J$1000, 10, FALSE))</f>
        <v>0</v>
      </c>
    </row>
    <row r="27" spans="1:15" ht="29.25" customHeight="1" x14ac:dyDescent="0.15">
      <c r="A27" s="152"/>
      <c r="B27" s="153"/>
      <c r="C27" s="160"/>
      <c r="D27" s="155"/>
      <c r="E27" s="155"/>
      <c r="F27" s="151"/>
      <c r="G27" s="128"/>
      <c r="H27" s="156"/>
    </row>
    <row r="28" spans="1:15" x14ac:dyDescent="0.15">
      <c r="G28" s="108"/>
      <c r="I28" s="106"/>
    </row>
    <row r="29" spans="1:15" x14ac:dyDescent="0.15">
      <c r="G29" s="108"/>
      <c r="I29" s="106"/>
    </row>
    <row r="30" spans="1:15" x14ac:dyDescent="0.15">
      <c r="G30" s="108"/>
      <c r="I30" s="106"/>
    </row>
    <row r="31" spans="1:15" x14ac:dyDescent="0.15">
      <c r="G31" s="108"/>
      <c r="I31" s="106"/>
    </row>
    <row r="32" spans="1:15" x14ac:dyDescent="0.15">
      <c r="G32" s="108"/>
      <c r="I32" s="106"/>
    </row>
    <row r="33" spans="7:9" x14ac:dyDescent="0.15">
      <c r="G33" s="108"/>
      <c r="I33" s="106"/>
    </row>
  </sheetData>
  <mergeCells count="86">
    <mergeCell ref="H26:H27"/>
    <mergeCell ref="A26:A27"/>
    <mergeCell ref="B26:B27"/>
    <mergeCell ref="C26:C27"/>
    <mergeCell ref="D26:D27"/>
    <mergeCell ref="E26:E27"/>
    <mergeCell ref="F26:F27"/>
    <mergeCell ref="H22:H23"/>
    <mergeCell ref="A24:A25"/>
    <mergeCell ref="B24:B25"/>
    <mergeCell ref="C24:C25"/>
    <mergeCell ref="D24:D25"/>
    <mergeCell ref="E24:E25"/>
    <mergeCell ref="F24:F25"/>
    <mergeCell ref="H24:H25"/>
    <mergeCell ref="A22:A23"/>
    <mergeCell ref="B22:B23"/>
    <mergeCell ref="C22:C23"/>
    <mergeCell ref="D22:D23"/>
    <mergeCell ref="E22:E23"/>
    <mergeCell ref="F22:F23"/>
    <mergeCell ref="H18:H19"/>
    <mergeCell ref="A20:A21"/>
    <mergeCell ref="B20:B21"/>
    <mergeCell ref="C20:C21"/>
    <mergeCell ref="D20:D21"/>
    <mergeCell ref="E20:E21"/>
    <mergeCell ref="F20:F21"/>
    <mergeCell ref="H20:H21"/>
    <mergeCell ref="A18:A19"/>
    <mergeCell ref="B18:B19"/>
    <mergeCell ref="C18:C19"/>
    <mergeCell ref="D18:D19"/>
    <mergeCell ref="E18:E19"/>
    <mergeCell ref="F18:F19"/>
    <mergeCell ref="H14:H15"/>
    <mergeCell ref="A16:A17"/>
    <mergeCell ref="B16:B17"/>
    <mergeCell ref="C16:C17"/>
    <mergeCell ref="D16:D17"/>
    <mergeCell ref="E16:E17"/>
    <mergeCell ref="F16:F17"/>
    <mergeCell ref="H16:H17"/>
    <mergeCell ref="A14:A15"/>
    <mergeCell ref="B14:B15"/>
    <mergeCell ref="C14:C15"/>
    <mergeCell ref="D14:D15"/>
    <mergeCell ref="E14:E15"/>
    <mergeCell ref="F14:F15"/>
    <mergeCell ref="H10:H11"/>
    <mergeCell ref="A12:A13"/>
    <mergeCell ref="B12:B13"/>
    <mergeCell ref="C12:C13"/>
    <mergeCell ref="D12:D13"/>
    <mergeCell ref="E12:E13"/>
    <mergeCell ref="F12:F13"/>
    <mergeCell ref="H12:H13"/>
    <mergeCell ref="A10:A11"/>
    <mergeCell ref="B10:B11"/>
    <mergeCell ref="C10:C11"/>
    <mergeCell ref="D10:D11"/>
    <mergeCell ref="E10:E11"/>
    <mergeCell ref="F10:F11"/>
    <mergeCell ref="H6:H7"/>
    <mergeCell ref="A8:A9"/>
    <mergeCell ref="B8:B9"/>
    <mergeCell ref="C8:C9"/>
    <mergeCell ref="D8:D9"/>
    <mergeCell ref="E8:E9"/>
    <mergeCell ref="F8:F9"/>
    <mergeCell ref="H8:H9"/>
    <mergeCell ref="A6:A7"/>
    <mergeCell ref="B6:B7"/>
    <mergeCell ref="C6:C7"/>
    <mergeCell ref="D6:D7"/>
    <mergeCell ref="E6:E7"/>
    <mergeCell ref="F6:F7"/>
    <mergeCell ref="B1:H1"/>
    <mergeCell ref="G2:H2"/>
    <mergeCell ref="G3:H3"/>
    <mergeCell ref="B4:B5"/>
    <mergeCell ref="C4:C5"/>
    <mergeCell ref="D4:D5"/>
    <mergeCell ref="E4:E5"/>
    <mergeCell ref="F4:F5"/>
    <mergeCell ref="H4:H5"/>
  </mergeCells>
  <phoneticPr fontId="2"/>
  <printOptions horizontalCentered="1"/>
  <pageMargins left="0.59055118110236227" right="0.31" top="0.98425196850393704" bottom="0.7" header="0.51181102362204722" footer="0.51181102362204722"/>
  <pageSetup paperSize="9" orientation="portrait" horizontalDpi="4294967292" verticalDpi="12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B855F-568E-476E-AC22-7C7049B85520}">
  <dimension ref="A1:P38"/>
  <sheetViews>
    <sheetView showZeros="0" topLeftCell="A3" zoomScaleNormal="100" zoomScaleSheetLayoutView="100" workbookViewId="0">
      <selection activeCell="C4" sqref="B4:H30"/>
    </sheetView>
  </sheetViews>
  <sheetFormatPr defaultRowHeight="13.5" x14ac:dyDescent="0.15"/>
  <cols>
    <col min="1" max="1" width="9" style="106"/>
    <col min="2" max="2" width="15.625" style="106" customWidth="1"/>
    <col min="3" max="3" width="8.625" style="108" customWidth="1"/>
    <col min="4" max="5" width="8.625" style="106" customWidth="1"/>
    <col min="6" max="7" width="11.625" style="106" customWidth="1"/>
    <col min="8" max="8" width="30.625" style="106" customWidth="1"/>
    <col min="9" max="9" width="21.75" style="106" customWidth="1"/>
    <col min="10" max="10" width="10" style="108" customWidth="1"/>
    <col min="11" max="12" width="10" style="106" customWidth="1"/>
    <col min="13" max="13" width="27.5" style="106" customWidth="1"/>
    <col min="14" max="14" width="12.5" style="106" customWidth="1"/>
    <col min="15" max="15" width="28.75" style="106" customWidth="1"/>
    <col min="16" max="16" width="15.375" style="106" customWidth="1"/>
    <col min="17" max="16384" width="9" style="106"/>
  </cols>
  <sheetData>
    <row r="1" spans="1:16" x14ac:dyDescent="0.15">
      <c r="B1" s="106" t="s">
        <v>149</v>
      </c>
    </row>
    <row r="2" spans="1:16" ht="34.5" customHeight="1" x14ac:dyDescent="0.15">
      <c r="B2" s="147" t="s">
        <v>21</v>
      </c>
      <c r="C2" s="147"/>
      <c r="D2" s="147"/>
      <c r="E2" s="147"/>
      <c r="F2" s="147"/>
      <c r="G2" s="147"/>
      <c r="H2" s="147"/>
      <c r="I2" s="107"/>
      <c r="J2" s="107"/>
      <c r="K2" s="107"/>
      <c r="L2" s="107"/>
      <c r="M2" s="107"/>
      <c r="N2" s="107"/>
      <c r="O2" s="107"/>
      <c r="P2" s="107"/>
    </row>
    <row r="3" spans="1:16" ht="20.100000000000001" customHeight="1" x14ac:dyDescent="0.15">
      <c r="G3" s="109"/>
      <c r="H3" s="109"/>
      <c r="M3" s="109"/>
      <c r="N3" s="109"/>
      <c r="O3" s="109"/>
      <c r="P3" s="109"/>
    </row>
    <row r="4" spans="1:16" ht="20.100000000000001" customHeight="1" x14ac:dyDescent="0.15">
      <c r="B4" s="148" t="s">
        <v>1</v>
      </c>
      <c r="C4" s="148" t="s">
        <v>2</v>
      </c>
      <c r="D4" s="148" t="s">
        <v>3</v>
      </c>
      <c r="E4" s="149" t="s">
        <v>150</v>
      </c>
      <c r="F4" s="149" t="s">
        <v>151</v>
      </c>
      <c r="G4" s="148" t="s">
        <v>20</v>
      </c>
      <c r="H4" s="110" t="s">
        <v>152</v>
      </c>
      <c r="I4" s="111"/>
      <c r="J4" s="111"/>
      <c r="K4" s="111"/>
      <c r="L4" s="111"/>
      <c r="M4" s="111"/>
      <c r="N4" s="111"/>
      <c r="O4" s="111"/>
      <c r="P4" s="111"/>
    </row>
    <row r="5" spans="1:16" ht="20.100000000000001" customHeight="1" x14ac:dyDescent="0.15">
      <c r="B5" s="148"/>
      <c r="C5" s="148"/>
      <c r="D5" s="148"/>
      <c r="E5" s="148"/>
      <c r="F5" s="149"/>
      <c r="G5" s="148"/>
      <c r="H5" s="110" t="s">
        <v>153</v>
      </c>
      <c r="O5" s="112"/>
      <c r="P5" s="108"/>
    </row>
    <row r="6" spans="1:16" ht="20.100000000000001" customHeight="1" x14ac:dyDescent="0.15">
      <c r="A6" s="152">
        <v>1</v>
      </c>
      <c r="B6" s="153" t="e">
        <f>IF(ISBLANK($A6), "", VLOOKUP($A6, 入力シート!$A$7:$J$1000, 3, FALSE))</f>
        <v>#REF!</v>
      </c>
      <c r="C6" s="160" t="e">
        <f>IF(ISBLANK($A6), "", VLOOKUP($A6, 入力シート!$A$7:$J$1000, 4, FALSE))</f>
        <v>#REF!</v>
      </c>
      <c r="D6" s="155" t="e">
        <f>IF(ISBLANK($A6), "", VLOOKUP($A6, 入力シート!$A$7:$J$1000, 6, FALSE))</f>
        <v>#REF!</v>
      </c>
      <c r="E6" s="155" t="e">
        <f>IF(ISBLANK($A6), "", VLOOKUP($A6, 入力シート!$A$7:$J$1000, 7, FALSE))</f>
        <v>#REF!</v>
      </c>
      <c r="F6" s="156" t="e">
        <f>IF(ISBLANK($A6), "", VLOOKUP($A6, 入力シート!$A$7:$J$1000, 10, FALSE))</f>
        <v>#REF!</v>
      </c>
      <c r="G6" s="150" t="e">
        <f>IF(ISBLANK($A6), "", VLOOKUP($A6, 入力シート!$A$7:$J$1000, 9, FALSE))</f>
        <v>#REF!</v>
      </c>
      <c r="H6" s="126" t="e">
        <f>IF(ISBLANK($A6), "", VLOOKUP($A6, 入力シート!$A$7:$J$1000, 8, FALSE))</f>
        <v>#REF!</v>
      </c>
    </row>
    <row r="7" spans="1:16" ht="20.100000000000001" customHeight="1" x14ac:dyDescent="0.15">
      <c r="A7" s="152"/>
      <c r="B7" s="153"/>
      <c r="C7" s="160"/>
      <c r="D7" s="155"/>
      <c r="E7" s="155"/>
      <c r="F7" s="156"/>
      <c r="G7" s="151"/>
      <c r="H7" s="115"/>
      <c r="O7" s="112"/>
      <c r="P7" s="108"/>
    </row>
    <row r="8" spans="1:16" ht="20.100000000000001" customHeight="1" x14ac:dyDescent="0.15">
      <c r="A8" s="152">
        <v>2</v>
      </c>
      <c r="B8" s="153" t="e">
        <f>IF(ISBLANK($A8), "", VLOOKUP($A8, 入力シート!$A$7:$J$1000, 3, FALSE))</f>
        <v>#REF!</v>
      </c>
      <c r="C8" s="160" t="e">
        <f>IF(ISBLANK($A8), "", VLOOKUP($A8, 入力シート!$A$7:$J$1000, 4, FALSE))</f>
        <v>#REF!</v>
      </c>
      <c r="D8" s="155" t="e">
        <f>IF(ISBLANK($A8), "", VLOOKUP($A8, 入力シート!$A$7:$J$1000, 6, FALSE))</f>
        <v>#REF!</v>
      </c>
      <c r="E8" s="155" t="e">
        <f>IF(ISBLANK($A8), "", VLOOKUP($A8, 入力シート!$A$7:$J$1000, 7, FALSE))</f>
        <v>#REF!</v>
      </c>
      <c r="F8" s="156" t="e">
        <f>IF(ISBLANK($A8), "", VLOOKUP($A8, 入力シート!$A$7:$J$1000, 10, FALSE))</f>
        <v>#REF!</v>
      </c>
      <c r="G8" s="150" t="e">
        <f>IF(ISBLANK($A8), "", VLOOKUP($A8, 入力シート!$A$7:$J$1000, 9, FALSE))</f>
        <v>#REF!</v>
      </c>
      <c r="H8" s="126" t="e">
        <f>IF(ISBLANK($A8), "", VLOOKUP($A8, 入力シート!$A$7:$J$1000, 8, FALSE))</f>
        <v>#REF!</v>
      </c>
    </row>
    <row r="9" spans="1:16" ht="20.100000000000001" customHeight="1" x14ac:dyDescent="0.15">
      <c r="A9" s="152"/>
      <c r="B9" s="153"/>
      <c r="C9" s="160"/>
      <c r="D9" s="155"/>
      <c r="E9" s="155"/>
      <c r="F9" s="156"/>
      <c r="G9" s="151"/>
      <c r="H9" s="115"/>
      <c r="O9" s="112"/>
      <c r="P9" s="108"/>
    </row>
    <row r="10" spans="1:16" ht="20.100000000000001" customHeight="1" x14ac:dyDescent="0.15">
      <c r="A10" s="152">
        <v>3</v>
      </c>
      <c r="B10" s="153" t="e">
        <f>IF(ISBLANK($A10), "", VLOOKUP($A10, 入力シート!$A$7:$J$1000, 3, FALSE))</f>
        <v>#REF!</v>
      </c>
      <c r="C10" s="160" t="e">
        <f>IF(ISBLANK($A10), "", VLOOKUP($A10, 入力シート!$A$7:$J$1000, 4, FALSE))</f>
        <v>#REF!</v>
      </c>
      <c r="D10" s="155" t="e">
        <f>IF(ISBLANK($A10), "", VLOOKUP($A10, 入力シート!$A$7:$J$1000, 6, FALSE))</f>
        <v>#REF!</v>
      </c>
      <c r="E10" s="155" t="e">
        <f>IF(ISBLANK($A10), "", VLOOKUP($A10, 入力シート!$A$7:$J$1000, 7, FALSE))</f>
        <v>#REF!</v>
      </c>
      <c r="F10" s="156" t="e">
        <f>IF(ISBLANK($A10), "", VLOOKUP($A10, 入力シート!$A$7:$J$1000, 10, FALSE))</f>
        <v>#REF!</v>
      </c>
      <c r="G10" s="150" t="e">
        <f>IF(ISBLANK($A10), "", VLOOKUP($A10, 入力シート!$A$7:$J$1000, 9, FALSE))</f>
        <v>#REF!</v>
      </c>
      <c r="H10" s="126" t="e">
        <f>IF(ISBLANK($A10), "", VLOOKUP($A10, 入力シート!$A$7:$J$1000, 8, FALSE))</f>
        <v>#REF!</v>
      </c>
    </row>
    <row r="11" spans="1:16" ht="20.100000000000001" customHeight="1" x14ac:dyDescent="0.15">
      <c r="A11" s="152"/>
      <c r="B11" s="153"/>
      <c r="C11" s="160"/>
      <c r="D11" s="155"/>
      <c r="E11" s="155"/>
      <c r="F11" s="156"/>
      <c r="G11" s="151"/>
      <c r="H11" s="115"/>
      <c r="O11" s="112"/>
      <c r="P11" s="108"/>
    </row>
    <row r="12" spans="1:16" ht="20.100000000000001" customHeight="1" x14ac:dyDescent="0.15">
      <c r="A12" s="152">
        <v>4</v>
      </c>
      <c r="B12" s="153" t="e">
        <f>IF(ISBLANK($A12), "", VLOOKUP($A12, 入力シート!$A$7:$J$1000, 3, FALSE))</f>
        <v>#REF!</v>
      </c>
      <c r="C12" s="160" t="e">
        <f>IF(ISBLANK($A12), "", VLOOKUP($A12, 入力シート!$A$7:$J$1000, 4, FALSE))</f>
        <v>#REF!</v>
      </c>
      <c r="D12" s="155" t="e">
        <f>IF(ISBLANK($A12), "", VLOOKUP($A12, 入力シート!$A$7:$J$1000, 6, FALSE))</f>
        <v>#REF!</v>
      </c>
      <c r="E12" s="155" t="e">
        <f>IF(ISBLANK($A12), "", VLOOKUP($A12, 入力シート!$A$7:$J$1000, 7, FALSE))</f>
        <v>#REF!</v>
      </c>
      <c r="F12" s="156" t="e">
        <f>IF(ISBLANK($A12), "", VLOOKUP($A12, 入力シート!$A$7:$J$1000, 10, FALSE))</f>
        <v>#REF!</v>
      </c>
      <c r="G12" s="150" t="e">
        <f>IF(ISBLANK($A12), "", VLOOKUP($A12, 入力シート!$A$7:$J$1000, 9, FALSE))</f>
        <v>#REF!</v>
      </c>
      <c r="H12" s="126" t="e">
        <f>IF(ISBLANK($A12), "", VLOOKUP($A12, 入力シート!$A$7:$J$1000, 8, FALSE))</f>
        <v>#REF!</v>
      </c>
    </row>
    <row r="13" spans="1:16" ht="20.100000000000001" customHeight="1" x14ac:dyDescent="0.15">
      <c r="A13" s="152"/>
      <c r="B13" s="153"/>
      <c r="C13" s="160"/>
      <c r="D13" s="155"/>
      <c r="E13" s="155"/>
      <c r="F13" s="156"/>
      <c r="G13" s="151"/>
      <c r="H13" s="115"/>
      <c r="O13" s="112"/>
      <c r="P13" s="108"/>
    </row>
    <row r="14" spans="1:16" ht="20.100000000000001" customHeight="1" x14ac:dyDescent="0.15">
      <c r="A14" s="152">
        <v>5</v>
      </c>
      <c r="B14" s="153" t="e">
        <f>IF(ISBLANK($A14), "", VLOOKUP($A14, 入力シート!$A$7:$J$1000, 3, FALSE))</f>
        <v>#REF!</v>
      </c>
      <c r="C14" s="160" t="e">
        <f>IF(ISBLANK($A14), "", VLOOKUP($A14, 入力シート!$A$7:$J$1000, 4, FALSE))</f>
        <v>#REF!</v>
      </c>
      <c r="D14" s="155" t="e">
        <f>IF(ISBLANK($A14), "", VLOOKUP($A14, 入力シート!$A$7:$J$1000, 6, FALSE))</f>
        <v>#REF!</v>
      </c>
      <c r="E14" s="155" t="e">
        <f>IF(ISBLANK($A14), "", VLOOKUP($A14, 入力シート!$A$7:$J$1000, 7, FALSE))</f>
        <v>#REF!</v>
      </c>
      <c r="F14" s="156" t="e">
        <f>IF(ISBLANK($A14), "", VLOOKUP($A14, 入力シート!$A$7:$J$1000, 10, FALSE))</f>
        <v>#REF!</v>
      </c>
      <c r="G14" s="150" t="e">
        <f>IF(ISBLANK($A14), "", VLOOKUP($A14, 入力シート!$A$7:$J$1000, 9, FALSE))</f>
        <v>#REF!</v>
      </c>
      <c r="H14" s="126" t="e">
        <f>IF(ISBLANK($A14), "", VLOOKUP($A14, 入力シート!$A$7:$J$1000, 8, FALSE))</f>
        <v>#REF!</v>
      </c>
    </row>
    <row r="15" spans="1:16" ht="20.100000000000001" customHeight="1" x14ac:dyDescent="0.15">
      <c r="A15" s="152"/>
      <c r="B15" s="153"/>
      <c r="C15" s="160"/>
      <c r="D15" s="155"/>
      <c r="E15" s="155"/>
      <c r="F15" s="156"/>
      <c r="G15" s="151"/>
      <c r="H15" s="115"/>
      <c r="O15" s="112"/>
      <c r="P15" s="108"/>
    </row>
    <row r="16" spans="1:16" ht="20.100000000000001" customHeight="1" x14ac:dyDescent="0.15">
      <c r="A16" s="152">
        <v>6</v>
      </c>
      <c r="B16" s="153" t="e">
        <f>IF(ISBLANK($A16), "", VLOOKUP($A16, 入力シート!$A$7:$J$1000, 3, FALSE))</f>
        <v>#REF!</v>
      </c>
      <c r="C16" s="160" t="e">
        <f>IF(ISBLANK($A16), "", VLOOKUP($A16, 入力シート!$A$7:$J$1000, 4, FALSE))</f>
        <v>#REF!</v>
      </c>
      <c r="D16" s="155" t="e">
        <f>IF(ISBLANK($A16), "", VLOOKUP($A16, 入力シート!$A$7:$J$1000, 6, FALSE))</f>
        <v>#REF!</v>
      </c>
      <c r="E16" s="155" t="e">
        <f>IF(ISBLANK($A16), "", VLOOKUP($A16, 入力シート!$A$7:$J$1000, 7, FALSE))</f>
        <v>#REF!</v>
      </c>
      <c r="F16" s="156" t="e">
        <f>IF(ISBLANK($A16), "", VLOOKUP($A16, 入力シート!$A$7:$J$1000, 10, FALSE))</f>
        <v>#REF!</v>
      </c>
      <c r="G16" s="150" t="e">
        <f>IF(ISBLANK($A16), "", VLOOKUP($A16, 入力シート!$A$7:$J$1000, 9, FALSE))</f>
        <v>#REF!</v>
      </c>
      <c r="H16" s="126" t="e">
        <f>IF(ISBLANK($A16), "", VLOOKUP($A16, 入力シート!$A$7:$J$1000, 8, FALSE))</f>
        <v>#REF!</v>
      </c>
    </row>
    <row r="17" spans="1:16" ht="20.100000000000001" customHeight="1" x14ac:dyDescent="0.15">
      <c r="A17" s="152"/>
      <c r="B17" s="153"/>
      <c r="C17" s="160"/>
      <c r="D17" s="155"/>
      <c r="E17" s="155"/>
      <c r="F17" s="156"/>
      <c r="G17" s="151"/>
      <c r="H17" s="115"/>
      <c r="O17" s="112"/>
      <c r="P17" s="108"/>
    </row>
    <row r="18" spans="1:16" ht="20.100000000000001" customHeight="1" x14ac:dyDescent="0.15">
      <c r="A18" s="152">
        <v>7</v>
      </c>
      <c r="B18" s="153">
        <f>IF(ISBLANK($A18), "", VLOOKUP($A18, 入力シート!$A$7:$J$1000, 3, FALSE))</f>
        <v>0</v>
      </c>
      <c r="C18" s="160">
        <f>IF(ISBLANK($A18), "", VLOOKUP($A18, 入力シート!$A$7:$J$1000, 4, FALSE))</f>
        <v>0</v>
      </c>
      <c r="D18" s="155">
        <f>IF(ISBLANK($A18), "", VLOOKUP($A18, 入力シート!$A$7:$J$1000, 6, FALSE))</f>
        <v>0</v>
      </c>
      <c r="E18" s="155">
        <f>IF(ISBLANK($A18), "", VLOOKUP($A18, 入力シート!$A$7:$J$1000, 7, FALSE))</f>
        <v>0</v>
      </c>
      <c r="F18" s="156">
        <f>IF(ISBLANK($A18), "", VLOOKUP($A18, 入力シート!$A$7:$J$1000, 10, FALSE))</f>
        <v>0</v>
      </c>
      <c r="G18" s="150">
        <f>IF(ISBLANK($A18), "", VLOOKUP($A18, 入力シート!$A$7:$J$1000, 9, FALSE))</f>
        <v>0</v>
      </c>
      <c r="H18" s="126">
        <f>IF(ISBLANK($A18), "", VLOOKUP($A18, 入力シート!$A$7:$J$1000, 8, FALSE))</f>
        <v>0</v>
      </c>
    </row>
    <row r="19" spans="1:16" ht="20.100000000000001" customHeight="1" x14ac:dyDescent="0.15">
      <c r="A19" s="152"/>
      <c r="B19" s="153"/>
      <c r="C19" s="160"/>
      <c r="D19" s="155"/>
      <c r="E19" s="155"/>
      <c r="F19" s="156"/>
      <c r="G19" s="151"/>
      <c r="H19" s="115"/>
      <c r="O19" s="112"/>
      <c r="P19" s="108"/>
    </row>
    <row r="20" spans="1:16" ht="20.100000000000001" customHeight="1" x14ac:dyDescent="0.15">
      <c r="A20" s="152">
        <v>8</v>
      </c>
      <c r="B20" s="153">
        <f>IF(ISBLANK($A20), "", VLOOKUP($A20, 入力シート!$A$7:$J$1000, 3, FALSE))</f>
        <v>0</v>
      </c>
      <c r="C20" s="160">
        <f>IF(ISBLANK($A20), "", VLOOKUP($A20, 入力シート!$A$7:$J$1000, 4, FALSE))</f>
        <v>0</v>
      </c>
      <c r="D20" s="155">
        <f>IF(ISBLANK($A20), "", VLOOKUP($A20, 入力シート!$A$7:$J$1000, 6, FALSE))</f>
        <v>0</v>
      </c>
      <c r="E20" s="155">
        <f>IF(ISBLANK($A20), "", VLOOKUP($A20, 入力シート!$A$7:$J$1000, 7, FALSE))</f>
        <v>0</v>
      </c>
      <c r="F20" s="156">
        <f>IF(ISBLANK($A20), "", VLOOKUP($A20, 入力シート!$A$7:$J$1000, 10, FALSE))</f>
        <v>0</v>
      </c>
      <c r="G20" s="150">
        <f>IF(ISBLANK($A20), "", VLOOKUP($A20, 入力シート!$A$7:$J$1000, 9, FALSE))</f>
        <v>0</v>
      </c>
      <c r="H20" s="126">
        <f>IF(ISBLANK($A20), "", VLOOKUP($A20, 入力シート!$A$7:$J$1000, 8, FALSE))</f>
        <v>0</v>
      </c>
    </row>
    <row r="21" spans="1:16" ht="20.100000000000001" customHeight="1" x14ac:dyDescent="0.15">
      <c r="A21" s="152"/>
      <c r="B21" s="153"/>
      <c r="C21" s="160"/>
      <c r="D21" s="155"/>
      <c r="E21" s="155"/>
      <c r="F21" s="156"/>
      <c r="G21" s="151"/>
      <c r="H21" s="115"/>
      <c r="O21" s="112"/>
      <c r="P21" s="108"/>
    </row>
    <row r="22" spans="1:16" ht="20.100000000000001" customHeight="1" x14ac:dyDescent="0.15">
      <c r="A22" s="152">
        <v>9</v>
      </c>
      <c r="B22" s="153">
        <f>IF(ISBLANK($A22), "", VLOOKUP($A22, 入力シート!$A$7:$J$1000, 3, FALSE))</f>
        <v>0</v>
      </c>
      <c r="C22" s="160">
        <f>IF(ISBLANK($A22), "", VLOOKUP($A22, 入力シート!$A$7:$J$1000, 4, FALSE))</f>
        <v>0</v>
      </c>
      <c r="D22" s="155">
        <f>IF(ISBLANK($A22), "", VLOOKUP($A22, 入力シート!$A$7:$J$1000, 6, FALSE))</f>
        <v>0</v>
      </c>
      <c r="E22" s="155">
        <f>IF(ISBLANK($A22), "", VLOOKUP($A22, 入力シート!$A$7:$J$1000, 7, FALSE))</f>
        <v>0</v>
      </c>
      <c r="F22" s="156">
        <f>IF(ISBLANK($A22), "", VLOOKUP($A22, 入力シート!$A$7:$J$1000, 10, FALSE))</f>
        <v>0</v>
      </c>
      <c r="G22" s="150">
        <f>IF(ISBLANK($A22), "", VLOOKUP($A22, 入力シート!$A$7:$J$1000, 9, FALSE))</f>
        <v>0</v>
      </c>
      <c r="H22" s="126">
        <f>IF(ISBLANK($A22), "", VLOOKUP($A22, 入力シート!$A$7:$J$1000, 8, FALSE))</f>
        <v>0</v>
      </c>
    </row>
    <row r="23" spans="1:16" ht="20.100000000000001" customHeight="1" x14ac:dyDescent="0.15">
      <c r="A23" s="152"/>
      <c r="B23" s="153"/>
      <c r="C23" s="160"/>
      <c r="D23" s="155"/>
      <c r="E23" s="155"/>
      <c r="F23" s="156"/>
      <c r="G23" s="151"/>
      <c r="H23" s="115"/>
      <c r="O23" s="112"/>
      <c r="P23" s="108"/>
    </row>
    <row r="24" spans="1:16" ht="20.100000000000001" customHeight="1" x14ac:dyDescent="0.15">
      <c r="A24" s="152">
        <v>10</v>
      </c>
      <c r="B24" s="153">
        <f>IF(ISBLANK($A24), "", VLOOKUP($A24, 入力シート!$A$7:$J$1000, 3, FALSE))</f>
        <v>0</v>
      </c>
      <c r="C24" s="160">
        <f>IF(ISBLANK($A24), "", VLOOKUP($A24, 入力シート!$A$7:$J$1000, 4, FALSE))</f>
        <v>0</v>
      </c>
      <c r="D24" s="155">
        <f>IF(ISBLANK($A24), "", VLOOKUP($A24, 入力シート!$A$7:$J$1000, 6, FALSE))</f>
        <v>0</v>
      </c>
      <c r="E24" s="155">
        <f>IF(ISBLANK($A24), "", VLOOKUP($A24, 入力シート!$A$7:$J$1000, 7, FALSE))</f>
        <v>0</v>
      </c>
      <c r="F24" s="156">
        <f>IF(ISBLANK($A24), "", VLOOKUP($A24, 入力シート!$A$7:$J$1000, 10, FALSE))</f>
        <v>0</v>
      </c>
      <c r="G24" s="150">
        <f>IF(ISBLANK($A24), "", VLOOKUP($A24, 入力シート!$A$7:$J$1000, 9, FALSE))</f>
        <v>0</v>
      </c>
      <c r="H24" s="126">
        <f>IF(ISBLANK($A24), "", VLOOKUP($A24, 入力シート!$A$7:$J$1000, 8, FALSE))</f>
        <v>0</v>
      </c>
    </row>
    <row r="25" spans="1:16" ht="20.100000000000001" customHeight="1" x14ac:dyDescent="0.15">
      <c r="A25" s="152"/>
      <c r="B25" s="153"/>
      <c r="C25" s="160"/>
      <c r="D25" s="155"/>
      <c r="E25" s="155"/>
      <c r="F25" s="156"/>
      <c r="G25" s="151"/>
      <c r="H25" s="115"/>
      <c r="O25" s="112"/>
      <c r="P25" s="108"/>
    </row>
    <row r="26" spans="1:16" ht="20.100000000000001" customHeight="1" x14ac:dyDescent="0.15">
      <c r="A26" s="152">
        <v>11</v>
      </c>
      <c r="B26" s="153">
        <f>IF(ISBLANK($A26), "", VLOOKUP($A26, 入力シート!$A$7:$J$1000, 3, FALSE))</f>
        <v>0</v>
      </c>
      <c r="C26" s="160">
        <f>IF(ISBLANK($A26), "", VLOOKUP($A26, 入力シート!$A$7:$J$1000, 4, FALSE))</f>
        <v>0</v>
      </c>
      <c r="D26" s="155">
        <f>IF(ISBLANK($A26), "", VLOOKUP($A26, 入力シート!$A$7:$J$1000, 6, FALSE))</f>
        <v>0</v>
      </c>
      <c r="E26" s="155">
        <f>IF(ISBLANK($A26), "", VLOOKUP($A26, 入力シート!$A$7:$J$1000, 7, FALSE))</f>
        <v>0</v>
      </c>
      <c r="F26" s="156">
        <f>IF(ISBLANK($A26), "", VLOOKUP($A26, 入力シート!$A$7:$J$1000, 10, FALSE))</f>
        <v>0</v>
      </c>
      <c r="G26" s="150">
        <f>IF(ISBLANK($A26), "", VLOOKUP($A26, 入力シート!$A$7:$J$1000, 9, FALSE))</f>
        <v>0</v>
      </c>
      <c r="H26" s="126">
        <f>IF(ISBLANK($A26), "", VLOOKUP($A26, 入力シート!$A$7:$J$1000, 8, FALSE))</f>
        <v>0</v>
      </c>
    </row>
    <row r="27" spans="1:16" ht="20.100000000000001" customHeight="1" x14ac:dyDescent="0.15">
      <c r="A27" s="152"/>
      <c r="B27" s="153"/>
      <c r="C27" s="160"/>
      <c r="D27" s="155"/>
      <c r="E27" s="155"/>
      <c r="F27" s="156"/>
      <c r="G27" s="151"/>
      <c r="H27" s="115"/>
    </row>
    <row r="28" spans="1:16" x14ac:dyDescent="0.15">
      <c r="B28" s="106">
        <v>0</v>
      </c>
      <c r="C28" s="108">
        <v>0</v>
      </c>
      <c r="D28" s="106">
        <v>0</v>
      </c>
      <c r="E28" s="106">
        <v>0</v>
      </c>
      <c r="H28" s="108"/>
      <c r="J28" s="106"/>
    </row>
    <row r="29" spans="1:16" ht="21" customHeight="1" x14ac:dyDescent="0.15">
      <c r="B29" s="180" t="s">
        <v>154</v>
      </c>
      <c r="C29" s="181"/>
      <c r="D29" s="181"/>
      <c r="E29" s="181"/>
      <c r="F29" s="181"/>
      <c r="G29" s="181"/>
      <c r="H29" s="181"/>
      <c r="I29" s="107"/>
      <c r="J29" s="107"/>
      <c r="K29" s="107"/>
      <c r="L29" s="107"/>
      <c r="M29" s="107"/>
      <c r="N29" s="107"/>
      <c r="O29" s="107"/>
    </row>
    <row r="30" spans="1:16" ht="21" customHeight="1" x14ac:dyDescent="0.15">
      <c r="B30" s="180" t="s">
        <v>155</v>
      </c>
      <c r="C30" s="181"/>
      <c r="D30" s="181"/>
      <c r="E30" s="181"/>
      <c r="F30" s="181"/>
      <c r="G30" s="181"/>
      <c r="H30" s="181"/>
      <c r="I30" s="107"/>
      <c r="J30" s="107"/>
      <c r="K30" s="107"/>
      <c r="L30" s="107"/>
      <c r="M30" s="107"/>
      <c r="N30" s="107"/>
      <c r="O30" s="107"/>
    </row>
    <row r="31" spans="1:16" x14ac:dyDescent="0.15">
      <c r="I31" s="108"/>
      <c r="J31" s="106"/>
    </row>
    <row r="32" spans="1:16" x14ac:dyDescent="0.15">
      <c r="I32" s="108"/>
      <c r="J32" s="106"/>
    </row>
    <row r="33" spans="2:10" ht="17.100000000000001" customHeight="1" x14ac:dyDescent="0.15">
      <c r="B33" s="130" t="s">
        <v>156</v>
      </c>
      <c r="I33" s="108"/>
      <c r="J33" s="106"/>
    </row>
    <row r="34" spans="2:10" ht="17.100000000000001" customHeight="1" x14ac:dyDescent="0.15">
      <c r="B34" s="106" t="s">
        <v>157</v>
      </c>
      <c r="I34" s="108"/>
      <c r="J34" s="106"/>
    </row>
    <row r="35" spans="2:10" ht="17.100000000000001" customHeight="1" x14ac:dyDescent="0.15">
      <c r="B35" s="106" t="s">
        <v>158</v>
      </c>
      <c r="I35" s="108"/>
      <c r="J35" s="106"/>
    </row>
    <row r="36" spans="2:10" ht="17.100000000000001" customHeight="1" x14ac:dyDescent="0.15">
      <c r="B36" s="106" t="s">
        <v>159</v>
      </c>
      <c r="I36" s="108"/>
      <c r="J36" s="106"/>
    </row>
    <row r="37" spans="2:10" ht="17.100000000000001" customHeight="1" x14ac:dyDescent="0.15">
      <c r="B37" s="106" t="s">
        <v>160</v>
      </c>
      <c r="I37" s="108"/>
      <c r="J37" s="106"/>
    </row>
    <row r="38" spans="2:10" x14ac:dyDescent="0.15">
      <c r="I38" s="108"/>
      <c r="J38" s="106"/>
    </row>
  </sheetData>
  <mergeCells count="86">
    <mergeCell ref="G26:G27"/>
    <mergeCell ref="B29:H29"/>
    <mergeCell ref="B30:H30"/>
    <mergeCell ref="A26:A27"/>
    <mergeCell ref="B26:B27"/>
    <mergeCell ref="C26:C27"/>
    <mergeCell ref="D26:D27"/>
    <mergeCell ref="E26:E27"/>
    <mergeCell ref="F26:F27"/>
    <mergeCell ref="G22:G23"/>
    <mergeCell ref="A24:A25"/>
    <mergeCell ref="B24:B25"/>
    <mergeCell ref="C24:C25"/>
    <mergeCell ref="D24:D25"/>
    <mergeCell ref="E24:E25"/>
    <mergeCell ref="F24:F25"/>
    <mergeCell ref="G24:G25"/>
    <mergeCell ref="A22:A23"/>
    <mergeCell ref="B22:B23"/>
    <mergeCell ref="C22:C23"/>
    <mergeCell ref="D22:D23"/>
    <mergeCell ref="E22:E23"/>
    <mergeCell ref="F22:F23"/>
    <mergeCell ref="G18:G19"/>
    <mergeCell ref="A20:A21"/>
    <mergeCell ref="B20:B21"/>
    <mergeCell ref="C20:C21"/>
    <mergeCell ref="D20:D21"/>
    <mergeCell ref="E20:E21"/>
    <mergeCell ref="F20:F21"/>
    <mergeCell ref="G20:G21"/>
    <mergeCell ref="A18:A19"/>
    <mergeCell ref="B18:B19"/>
    <mergeCell ref="C18:C19"/>
    <mergeCell ref="D18:D19"/>
    <mergeCell ref="E18:E19"/>
    <mergeCell ref="F18:F19"/>
    <mergeCell ref="G14:G15"/>
    <mergeCell ref="A16:A17"/>
    <mergeCell ref="B16:B17"/>
    <mergeCell ref="C16:C17"/>
    <mergeCell ref="D16:D17"/>
    <mergeCell ref="E16:E17"/>
    <mergeCell ref="F16:F17"/>
    <mergeCell ref="G16:G17"/>
    <mergeCell ref="A14:A15"/>
    <mergeCell ref="B14:B15"/>
    <mergeCell ref="C14:C15"/>
    <mergeCell ref="D14:D15"/>
    <mergeCell ref="E14:E15"/>
    <mergeCell ref="F14:F15"/>
    <mergeCell ref="G10:G11"/>
    <mergeCell ref="A12:A13"/>
    <mergeCell ref="B12:B13"/>
    <mergeCell ref="C12:C13"/>
    <mergeCell ref="D12:D13"/>
    <mergeCell ref="E12:E13"/>
    <mergeCell ref="F12:F13"/>
    <mergeCell ref="G12:G13"/>
    <mergeCell ref="A10:A11"/>
    <mergeCell ref="B10:B11"/>
    <mergeCell ref="C10:C11"/>
    <mergeCell ref="D10:D11"/>
    <mergeCell ref="E10:E11"/>
    <mergeCell ref="F10:F11"/>
    <mergeCell ref="G6:G7"/>
    <mergeCell ref="A8:A9"/>
    <mergeCell ref="B8:B9"/>
    <mergeCell ref="C8:C9"/>
    <mergeCell ref="D8:D9"/>
    <mergeCell ref="E8:E9"/>
    <mergeCell ref="F8:F9"/>
    <mergeCell ref="G8:G9"/>
    <mergeCell ref="A6:A7"/>
    <mergeCell ref="B6:B7"/>
    <mergeCell ref="C6:C7"/>
    <mergeCell ref="D6:D7"/>
    <mergeCell ref="E6:E7"/>
    <mergeCell ref="F6:F7"/>
    <mergeCell ref="B2:H2"/>
    <mergeCell ref="B4:B5"/>
    <mergeCell ref="C4:C5"/>
    <mergeCell ref="D4:D5"/>
    <mergeCell ref="E4:E5"/>
    <mergeCell ref="F4:F5"/>
    <mergeCell ref="G4:G5"/>
  </mergeCells>
  <phoneticPr fontId="2"/>
  <printOptions horizontalCentered="1"/>
  <pageMargins left="0.59055118110236227" right="0.31" top="0.98425196850393704" bottom="0.7" header="0.51181102362204722" footer="0.51181102362204722"/>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E4CDC-E951-47DC-847B-E7E0A902B2C7}">
  <dimension ref="A1:P38"/>
  <sheetViews>
    <sheetView showZeros="0" topLeftCell="A3" zoomScaleNormal="100" zoomScaleSheetLayoutView="100" workbookViewId="0">
      <selection activeCell="C4" sqref="B4:H30"/>
    </sheetView>
  </sheetViews>
  <sheetFormatPr defaultRowHeight="13.5" x14ac:dyDescent="0.15"/>
  <cols>
    <col min="1" max="1" width="9" style="106"/>
    <col min="2" max="2" width="15.625" style="106" customWidth="1"/>
    <col min="3" max="3" width="8.625" style="108" customWidth="1"/>
    <col min="4" max="5" width="8.625" style="106" customWidth="1"/>
    <col min="6" max="7" width="11.625" style="106" customWidth="1"/>
    <col min="8" max="8" width="30.625" style="106" customWidth="1"/>
    <col min="9" max="9" width="21.75" style="106" customWidth="1"/>
    <col min="10" max="10" width="10" style="108" customWidth="1"/>
    <col min="11" max="12" width="10" style="106" customWidth="1"/>
    <col min="13" max="13" width="27.5" style="106" customWidth="1"/>
    <col min="14" max="14" width="12.5" style="106" customWidth="1"/>
    <col min="15" max="15" width="28.75" style="106" customWidth="1"/>
    <col min="16" max="16" width="15.375" style="106" customWidth="1"/>
    <col min="17" max="16384" width="9" style="106"/>
  </cols>
  <sheetData>
    <row r="1" spans="1:16" x14ac:dyDescent="0.15">
      <c r="B1" s="106" t="s">
        <v>149</v>
      </c>
    </row>
    <row r="2" spans="1:16" ht="34.5" customHeight="1" x14ac:dyDescent="0.15">
      <c r="B2" s="147" t="s">
        <v>21</v>
      </c>
      <c r="C2" s="147"/>
      <c r="D2" s="147"/>
      <c r="E2" s="147"/>
      <c r="F2" s="147"/>
      <c r="G2" s="147"/>
      <c r="H2" s="147"/>
      <c r="I2" s="107"/>
      <c r="J2" s="107"/>
      <c r="K2" s="107"/>
      <c r="L2" s="107"/>
      <c r="M2" s="107"/>
      <c r="N2" s="107"/>
      <c r="O2" s="107"/>
      <c r="P2" s="107"/>
    </row>
    <row r="3" spans="1:16" ht="20.100000000000001" customHeight="1" x14ac:dyDescent="0.15">
      <c r="G3" s="109"/>
      <c r="H3" s="109"/>
      <c r="M3" s="109"/>
      <c r="N3" s="109"/>
      <c r="O3" s="109"/>
      <c r="P3" s="109"/>
    </row>
    <row r="4" spans="1:16" ht="20.100000000000001" customHeight="1" x14ac:dyDescent="0.15">
      <c r="B4" s="148" t="s">
        <v>1</v>
      </c>
      <c r="C4" s="148" t="s">
        <v>2</v>
      </c>
      <c r="D4" s="148" t="s">
        <v>3</v>
      </c>
      <c r="E4" s="149" t="s">
        <v>150</v>
      </c>
      <c r="F4" s="149" t="s">
        <v>151</v>
      </c>
      <c r="G4" s="148" t="s">
        <v>20</v>
      </c>
      <c r="H4" s="110" t="s">
        <v>152</v>
      </c>
      <c r="I4" s="111"/>
      <c r="J4" s="111"/>
      <c r="K4" s="111"/>
      <c r="L4" s="111"/>
      <c r="M4" s="111"/>
      <c r="N4" s="111"/>
      <c r="O4" s="111"/>
      <c r="P4" s="111"/>
    </row>
    <row r="5" spans="1:16" ht="20.100000000000001" customHeight="1" x14ac:dyDescent="0.15">
      <c r="B5" s="148"/>
      <c r="C5" s="148"/>
      <c r="D5" s="148"/>
      <c r="E5" s="148"/>
      <c r="F5" s="149"/>
      <c r="G5" s="148"/>
      <c r="H5" s="110" t="s">
        <v>153</v>
      </c>
      <c r="O5" s="112"/>
      <c r="P5" s="108"/>
    </row>
    <row r="6" spans="1:16" ht="20.100000000000001" customHeight="1" x14ac:dyDescent="0.15">
      <c r="A6" s="152">
        <v>1</v>
      </c>
      <c r="B6" s="153" t="e">
        <f>IF(ISBLANK($A6), "", VLOOKUP($A6, 入力シート!$A$7:$J$1000, 3, FALSE))</f>
        <v>#REF!</v>
      </c>
      <c r="C6" s="160" t="e">
        <f>IF(ISBLANK($A6), "", VLOOKUP($A6, 入力シート!$A$7:$J$1000, 4, FALSE))</f>
        <v>#REF!</v>
      </c>
      <c r="D6" s="155" t="e">
        <f>IF(ISBLANK($A6), "", VLOOKUP($A6, 入力シート!$A$7:$J$1000, 6, FALSE))</f>
        <v>#REF!</v>
      </c>
      <c r="E6" s="155" t="e">
        <f>IF(ISBLANK($A6), "", VLOOKUP($A6, 入力シート!$A$7:$J$1000, 7, FALSE))</f>
        <v>#REF!</v>
      </c>
      <c r="F6" s="156" t="e">
        <f>IF(ISBLANK($A6), "", VLOOKUP($A6, 入力シート!$A$7:$J$1000, 10, FALSE))</f>
        <v>#REF!</v>
      </c>
      <c r="G6" s="150" t="e">
        <f>IF(ISBLANK($A6), "", VLOOKUP($A6, 入力シート!$A$7:$J$1000, 9, FALSE))</f>
        <v>#REF!</v>
      </c>
      <c r="H6" s="126" t="e">
        <f>IF(ISBLANK($A6), "", VLOOKUP($A6, 入力シート!$A$7:$J$1000, 8, FALSE))</f>
        <v>#REF!</v>
      </c>
    </row>
    <row r="7" spans="1:16" ht="20.100000000000001" customHeight="1" x14ac:dyDescent="0.15">
      <c r="A7" s="152"/>
      <c r="B7" s="153"/>
      <c r="C7" s="160"/>
      <c r="D7" s="155"/>
      <c r="E7" s="155"/>
      <c r="F7" s="156"/>
      <c r="G7" s="151"/>
      <c r="H7" s="115"/>
      <c r="O7" s="112"/>
      <c r="P7" s="108"/>
    </row>
    <row r="8" spans="1:16" ht="20.100000000000001" customHeight="1" x14ac:dyDescent="0.15">
      <c r="A8" s="152">
        <v>2</v>
      </c>
      <c r="B8" s="153" t="e">
        <f>IF(ISBLANK($A8), "", VLOOKUP($A8, 入力シート!$A$7:$J$1000, 3, FALSE))</f>
        <v>#REF!</v>
      </c>
      <c r="C8" s="160" t="e">
        <f>IF(ISBLANK($A8), "", VLOOKUP($A8, 入力シート!$A$7:$J$1000, 4, FALSE))</f>
        <v>#REF!</v>
      </c>
      <c r="D8" s="155" t="e">
        <f>IF(ISBLANK($A8), "", VLOOKUP($A8, 入力シート!$A$7:$J$1000, 6, FALSE))</f>
        <v>#REF!</v>
      </c>
      <c r="E8" s="155" t="e">
        <f>IF(ISBLANK($A8), "", VLOOKUP($A8, 入力シート!$A$7:$J$1000, 7, FALSE))</f>
        <v>#REF!</v>
      </c>
      <c r="F8" s="156" t="e">
        <f>IF(ISBLANK($A8), "", VLOOKUP($A8, 入力シート!$A$7:$J$1000, 10, FALSE))</f>
        <v>#REF!</v>
      </c>
      <c r="G8" s="150" t="e">
        <f>IF(ISBLANK($A8), "", VLOOKUP($A8, 入力シート!$A$7:$J$1000, 9, FALSE))</f>
        <v>#REF!</v>
      </c>
      <c r="H8" s="126" t="e">
        <f>IF(ISBLANK($A8), "", VLOOKUP($A8, 入力シート!$A$7:$J$1000, 8, FALSE))</f>
        <v>#REF!</v>
      </c>
    </row>
    <row r="9" spans="1:16" ht="20.100000000000001" customHeight="1" x14ac:dyDescent="0.15">
      <c r="A9" s="152"/>
      <c r="B9" s="153"/>
      <c r="C9" s="160"/>
      <c r="D9" s="155"/>
      <c r="E9" s="155"/>
      <c r="F9" s="156"/>
      <c r="G9" s="151"/>
      <c r="H9" s="115"/>
      <c r="O9" s="112"/>
      <c r="P9" s="108"/>
    </row>
    <row r="10" spans="1:16" ht="20.100000000000001" customHeight="1" x14ac:dyDescent="0.15">
      <c r="A10" s="152">
        <v>3</v>
      </c>
      <c r="B10" s="153" t="e">
        <f>IF(ISBLANK($A10), "", VLOOKUP($A10, 入力シート!$A$7:$J$1000, 3, FALSE))</f>
        <v>#REF!</v>
      </c>
      <c r="C10" s="160" t="e">
        <f>IF(ISBLANK($A10), "", VLOOKUP($A10, 入力シート!$A$7:$J$1000, 4, FALSE))</f>
        <v>#REF!</v>
      </c>
      <c r="D10" s="155" t="e">
        <f>IF(ISBLANK($A10), "", VLOOKUP($A10, 入力シート!$A$7:$J$1000, 6, FALSE))</f>
        <v>#REF!</v>
      </c>
      <c r="E10" s="155" t="e">
        <f>IF(ISBLANK($A10), "", VLOOKUP($A10, 入力シート!$A$7:$J$1000, 7, FALSE))</f>
        <v>#REF!</v>
      </c>
      <c r="F10" s="156" t="e">
        <f>IF(ISBLANK($A10), "", VLOOKUP($A10, 入力シート!$A$7:$J$1000, 10, FALSE))</f>
        <v>#REF!</v>
      </c>
      <c r="G10" s="150" t="e">
        <f>IF(ISBLANK($A10), "", VLOOKUP($A10, 入力シート!$A$7:$J$1000, 9, FALSE))</f>
        <v>#REF!</v>
      </c>
      <c r="H10" s="126" t="e">
        <f>IF(ISBLANK($A10), "", VLOOKUP($A10, 入力シート!$A$7:$J$1000, 8, FALSE))</f>
        <v>#REF!</v>
      </c>
    </row>
    <row r="11" spans="1:16" ht="20.100000000000001" customHeight="1" x14ac:dyDescent="0.15">
      <c r="A11" s="152"/>
      <c r="B11" s="153"/>
      <c r="C11" s="160"/>
      <c r="D11" s="155"/>
      <c r="E11" s="155"/>
      <c r="F11" s="156"/>
      <c r="G11" s="151"/>
      <c r="H11" s="115"/>
      <c r="O11" s="112"/>
      <c r="P11" s="108"/>
    </row>
    <row r="12" spans="1:16" ht="20.100000000000001" customHeight="1" x14ac:dyDescent="0.15">
      <c r="A12" s="152">
        <v>4</v>
      </c>
      <c r="B12" s="153" t="e">
        <f>IF(ISBLANK($A12), "", VLOOKUP($A12, 入力シート!$A$7:$J$1000, 3, FALSE))</f>
        <v>#REF!</v>
      </c>
      <c r="C12" s="160" t="e">
        <f>IF(ISBLANK($A12), "", VLOOKUP($A12, 入力シート!$A$7:$J$1000, 4, FALSE))</f>
        <v>#REF!</v>
      </c>
      <c r="D12" s="155" t="e">
        <f>IF(ISBLANK($A12), "", VLOOKUP($A12, 入力シート!$A$7:$J$1000, 6, FALSE))</f>
        <v>#REF!</v>
      </c>
      <c r="E12" s="155" t="e">
        <f>IF(ISBLANK($A12), "", VLOOKUP($A12, 入力シート!$A$7:$J$1000, 7, FALSE))</f>
        <v>#REF!</v>
      </c>
      <c r="F12" s="156" t="e">
        <f>IF(ISBLANK($A12), "", VLOOKUP($A12, 入力シート!$A$7:$J$1000, 10, FALSE))</f>
        <v>#REF!</v>
      </c>
      <c r="G12" s="150" t="e">
        <f>IF(ISBLANK($A12), "", VLOOKUP($A12, 入力シート!$A$7:$J$1000, 9, FALSE))</f>
        <v>#REF!</v>
      </c>
      <c r="H12" s="126" t="e">
        <f>IF(ISBLANK($A12), "", VLOOKUP($A12, 入力シート!$A$7:$J$1000, 8, FALSE))</f>
        <v>#REF!</v>
      </c>
    </row>
    <row r="13" spans="1:16" ht="20.100000000000001" customHeight="1" x14ac:dyDescent="0.15">
      <c r="A13" s="152"/>
      <c r="B13" s="153"/>
      <c r="C13" s="160"/>
      <c r="D13" s="155"/>
      <c r="E13" s="155"/>
      <c r="F13" s="156"/>
      <c r="G13" s="151"/>
      <c r="H13" s="115"/>
      <c r="O13" s="112"/>
      <c r="P13" s="108"/>
    </row>
    <row r="14" spans="1:16" ht="20.100000000000001" customHeight="1" x14ac:dyDescent="0.15">
      <c r="A14" s="152">
        <v>5</v>
      </c>
      <c r="B14" s="153" t="e">
        <f>IF(ISBLANK($A14), "", VLOOKUP($A14, 入力シート!$A$7:$J$1000, 3, FALSE))</f>
        <v>#REF!</v>
      </c>
      <c r="C14" s="160" t="e">
        <f>IF(ISBLANK($A14), "", VLOOKUP($A14, 入力シート!$A$7:$J$1000, 4, FALSE))</f>
        <v>#REF!</v>
      </c>
      <c r="D14" s="155" t="e">
        <f>IF(ISBLANK($A14), "", VLOOKUP($A14, 入力シート!$A$7:$J$1000, 6, FALSE))</f>
        <v>#REF!</v>
      </c>
      <c r="E14" s="155" t="e">
        <f>IF(ISBLANK($A14), "", VLOOKUP($A14, 入力シート!$A$7:$J$1000, 7, FALSE))</f>
        <v>#REF!</v>
      </c>
      <c r="F14" s="156" t="e">
        <f>IF(ISBLANK($A14), "", VLOOKUP($A14, 入力シート!$A$7:$J$1000, 10, FALSE))</f>
        <v>#REF!</v>
      </c>
      <c r="G14" s="150" t="e">
        <f>IF(ISBLANK($A14), "", VLOOKUP($A14, 入力シート!$A$7:$J$1000, 9, FALSE))</f>
        <v>#REF!</v>
      </c>
      <c r="H14" s="126" t="e">
        <f>IF(ISBLANK($A14), "", VLOOKUP($A14, 入力シート!$A$7:$J$1000, 8, FALSE))</f>
        <v>#REF!</v>
      </c>
    </row>
    <row r="15" spans="1:16" ht="20.100000000000001" customHeight="1" x14ac:dyDescent="0.15">
      <c r="A15" s="152"/>
      <c r="B15" s="153"/>
      <c r="C15" s="160"/>
      <c r="D15" s="155"/>
      <c r="E15" s="155"/>
      <c r="F15" s="156"/>
      <c r="G15" s="151"/>
      <c r="H15" s="115"/>
      <c r="O15" s="112"/>
      <c r="P15" s="108"/>
    </row>
    <row r="16" spans="1:16" ht="20.100000000000001" customHeight="1" x14ac:dyDescent="0.15">
      <c r="A16" s="152">
        <v>6</v>
      </c>
      <c r="B16" s="153" t="e">
        <f>IF(ISBLANK($A16), "", VLOOKUP($A16, 入力シート!$A$7:$J$1000, 3, FALSE))</f>
        <v>#REF!</v>
      </c>
      <c r="C16" s="160" t="e">
        <f>IF(ISBLANK($A16), "", VLOOKUP($A16, 入力シート!$A$7:$J$1000, 4, FALSE))</f>
        <v>#REF!</v>
      </c>
      <c r="D16" s="155" t="e">
        <f>IF(ISBLANK($A16), "", VLOOKUP($A16, 入力シート!$A$7:$J$1000, 6, FALSE))</f>
        <v>#REF!</v>
      </c>
      <c r="E16" s="155" t="e">
        <f>IF(ISBLANK($A16), "", VLOOKUP($A16, 入力シート!$A$7:$J$1000, 7, FALSE))</f>
        <v>#REF!</v>
      </c>
      <c r="F16" s="156" t="e">
        <f>IF(ISBLANK($A16), "", VLOOKUP($A16, 入力シート!$A$7:$J$1000, 10, FALSE))</f>
        <v>#REF!</v>
      </c>
      <c r="G16" s="150" t="e">
        <f>IF(ISBLANK($A16), "", VLOOKUP($A16, 入力シート!$A$7:$J$1000, 9, FALSE))</f>
        <v>#REF!</v>
      </c>
      <c r="H16" s="126" t="e">
        <f>IF(ISBLANK($A16), "", VLOOKUP($A16, 入力シート!$A$7:$J$1000, 8, FALSE))</f>
        <v>#REF!</v>
      </c>
    </row>
    <row r="17" spans="1:16" ht="20.100000000000001" customHeight="1" x14ac:dyDescent="0.15">
      <c r="A17" s="152"/>
      <c r="B17" s="153"/>
      <c r="C17" s="160"/>
      <c r="D17" s="155"/>
      <c r="E17" s="155"/>
      <c r="F17" s="156"/>
      <c r="G17" s="151"/>
      <c r="H17" s="115"/>
      <c r="O17" s="112"/>
      <c r="P17" s="108"/>
    </row>
    <row r="18" spans="1:16" ht="20.100000000000001" customHeight="1" x14ac:dyDescent="0.15">
      <c r="A18" s="152">
        <v>7</v>
      </c>
      <c r="B18" s="153">
        <f>IF(ISBLANK($A18), "", VLOOKUP($A18, 入力シート!$A$7:$J$1000, 3, FALSE))</f>
        <v>0</v>
      </c>
      <c r="C18" s="160">
        <f>IF(ISBLANK($A18), "", VLOOKUP($A18, 入力シート!$A$7:$J$1000, 4, FALSE))</f>
        <v>0</v>
      </c>
      <c r="D18" s="155">
        <f>IF(ISBLANK($A18), "", VLOOKUP($A18, 入力シート!$A$7:$J$1000, 6, FALSE))</f>
        <v>0</v>
      </c>
      <c r="E18" s="155">
        <f>IF(ISBLANK($A18), "", VLOOKUP($A18, 入力シート!$A$7:$J$1000, 7, FALSE))</f>
        <v>0</v>
      </c>
      <c r="F18" s="156">
        <f>IF(ISBLANK($A18), "", VLOOKUP($A18, 入力シート!$A$7:$J$1000, 10, FALSE))</f>
        <v>0</v>
      </c>
      <c r="G18" s="150">
        <f>IF(ISBLANK($A18), "", VLOOKUP($A18, 入力シート!$A$7:$J$1000, 9, FALSE))</f>
        <v>0</v>
      </c>
      <c r="H18" s="126">
        <f>IF(ISBLANK($A18), "", VLOOKUP($A18, 入力シート!$A$7:$J$1000, 8, FALSE))</f>
        <v>0</v>
      </c>
    </row>
    <row r="19" spans="1:16" ht="20.100000000000001" customHeight="1" x14ac:dyDescent="0.15">
      <c r="A19" s="152"/>
      <c r="B19" s="153"/>
      <c r="C19" s="160"/>
      <c r="D19" s="155"/>
      <c r="E19" s="155"/>
      <c r="F19" s="156"/>
      <c r="G19" s="151"/>
      <c r="H19" s="115"/>
      <c r="O19" s="112"/>
      <c r="P19" s="108"/>
    </row>
    <row r="20" spans="1:16" ht="20.100000000000001" customHeight="1" x14ac:dyDescent="0.15">
      <c r="A20" s="152">
        <v>8</v>
      </c>
      <c r="B20" s="153">
        <f>IF(ISBLANK($A20), "", VLOOKUP($A20, 入力シート!$A$7:$J$1000, 3, FALSE))</f>
        <v>0</v>
      </c>
      <c r="C20" s="160">
        <f>IF(ISBLANK($A20), "", VLOOKUP($A20, 入力シート!$A$7:$J$1000, 4, FALSE))</f>
        <v>0</v>
      </c>
      <c r="D20" s="155">
        <f>IF(ISBLANK($A20), "", VLOOKUP($A20, 入力シート!$A$7:$J$1000, 6, FALSE))</f>
        <v>0</v>
      </c>
      <c r="E20" s="155">
        <f>IF(ISBLANK($A20), "", VLOOKUP($A20, 入力シート!$A$7:$J$1000, 7, FALSE))</f>
        <v>0</v>
      </c>
      <c r="F20" s="156">
        <f>IF(ISBLANK($A20), "", VLOOKUP($A20, 入力シート!$A$7:$J$1000, 10, FALSE))</f>
        <v>0</v>
      </c>
      <c r="G20" s="150">
        <f>IF(ISBLANK($A20), "", VLOOKUP($A20, 入力シート!$A$7:$J$1000, 9, FALSE))</f>
        <v>0</v>
      </c>
      <c r="H20" s="126">
        <f>IF(ISBLANK($A20), "", VLOOKUP($A20, 入力シート!$A$7:$J$1000, 8, FALSE))</f>
        <v>0</v>
      </c>
    </row>
    <row r="21" spans="1:16" ht="20.100000000000001" customHeight="1" x14ac:dyDescent="0.15">
      <c r="A21" s="152"/>
      <c r="B21" s="153"/>
      <c r="C21" s="160"/>
      <c r="D21" s="155"/>
      <c r="E21" s="155"/>
      <c r="F21" s="156"/>
      <c r="G21" s="151"/>
      <c r="H21" s="115"/>
      <c r="O21" s="112"/>
      <c r="P21" s="108"/>
    </row>
    <row r="22" spans="1:16" ht="20.100000000000001" customHeight="1" x14ac:dyDescent="0.15">
      <c r="A22" s="152">
        <v>9</v>
      </c>
      <c r="B22" s="153">
        <f>IF(ISBLANK($A22), "", VLOOKUP($A22, 入力シート!$A$7:$J$1000, 3, FALSE))</f>
        <v>0</v>
      </c>
      <c r="C22" s="160">
        <f>IF(ISBLANK($A22), "", VLOOKUP($A22, 入力シート!$A$7:$J$1000, 4, FALSE))</f>
        <v>0</v>
      </c>
      <c r="D22" s="155">
        <f>IF(ISBLANK($A22), "", VLOOKUP($A22, 入力シート!$A$7:$J$1000, 6, FALSE))</f>
        <v>0</v>
      </c>
      <c r="E22" s="155">
        <f>IF(ISBLANK($A22), "", VLOOKUP($A22, 入力シート!$A$7:$J$1000, 7, FALSE))</f>
        <v>0</v>
      </c>
      <c r="F22" s="156">
        <f>IF(ISBLANK($A22), "", VLOOKUP($A22, 入力シート!$A$7:$J$1000, 10, FALSE))</f>
        <v>0</v>
      </c>
      <c r="G22" s="150">
        <f>IF(ISBLANK($A22), "", VLOOKUP($A22, 入力シート!$A$7:$J$1000, 9, FALSE))</f>
        <v>0</v>
      </c>
      <c r="H22" s="126">
        <f>IF(ISBLANK($A22), "", VLOOKUP($A22, 入力シート!$A$7:$J$1000, 8, FALSE))</f>
        <v>0</v>
      </c>
    </row>
    <row r="23" spans="1:16" ht="20.100000000000001" customHeight="1" x14ac:dyDescent="0.15">
      <c r="A23" s="152"/>
      <c r="B23" s="153"/>
      <c r="C23" s="160"/>
      <c r="D23" s="155"/>
      <c r="E23" s="155"/>
      <c r="F23" s="156"/>
      <c r="G23" s="151"/>
      <c r="H23" s="115"/>
      <c r="O23" s="112"/>
      <c r="P23" s="108"/>
    </row>
    <row r="24" spans="1:16" ht="20.100000000000001" customHeight="1" x14ac:dyDescent="0.15">
      <c r="A24" s="152">
        <v>10</v>
      </c>
      <c r="B24" s="153">
        <f>IF(ISBLANK($A24), "", VLOOKUP($A24, 入力シート!$A$7:$J$1000, 3, FALSE))</f>
        <v>0</v>
      </c>
      <c r="C24" s="160">
        <f>IF(ISBLANK($A24), "", VLOOKUP($A24, 入力シート!$A$7:$J$1000, 4, FALSE))</f>
        <v>0</v>
      </c>
      <c r="D24" s="155">
        <f>IF(ISBLANK($A24), "", VLOOKUP($A24, 入力シート!$A$7:$J$1000, 6, FALSE))</f>
        <v>0</v>
      </c>
      <c r="E24" s="155">
        <f>IF(ISBLANK($A24), "", VLOOKUP($A24, 入力シート!$A$7:$J$1000, 7, FALSE))</f>
        <v>0</v>
      </c>
      <c r="F24" s="156">
        <f>IF(ISBLANK($A24), "", VLOOKUP($A24, 入力シート!$A$7:$J$1000, 10, FALSE))</f>
        <v>0</v>
      </c>
      <c r="G24" s="150">
        <f>IF(ISBLANK($A24), "", VLOOKUP($A24, 入力シート!$A$7:$J$1000, 9, FALSE))</f>
        <v>0</v>
      </c>
      <c r="H24" s="126">
        <f>IF(ISBLANK($A24), "", VLOOKUP($A24, 入力シート!$A$7:$J$1000, 8, FALSE))</f>
        <v>0</v>
      </c>
    </row>
    <row r="25" spans="1:16" ht="20.100000000000001" customHeight="1" x14ac:dyDescent="0.15">
      <c r="A25" s="152"/>
      <c r="B25" s="153"/>
      <c r="C25" s="160"/>
      <c r="D25" s="155"/>
      <c r="E25" s="155"/>
      <c r="F25" s="156"/>
      <c r="G25" s="151"/>
      <c r="H25" s="115"/>
      <c r="O25" s="112"/>
      <c r="P25" s="108"/>
    </row>
    <row r="26" spans="1:16" ht="20.100000000000001" customHeight="1" x14ac:dyDescent="0.15">
      <c r="A26" s="152">
        <v>11</v>
      </c>
      <c r="B26" s="153">
        <f>IF(ISBLANK($A26), "", VLOOKUP($A26, 入力シート!$A$7:$J$1000, 3, FALSE))</f>
        <v>0</v>
      </c>
      <c r="C26" s="160">
        <f>IF(ISBLANK($A26), "", VLOOKUP($A26, 入力シート!$A$7:$J$1000, 4, FALSE))</f>
        <v>0</v>
      </c>
      <c r="D26" s="155">
        <f>IF(ISBLANK($A26), "", VLOOKUP($A26, 入力シート!$A$7:$J$1000, 6, FALSE))</f>
        <v>0</v>
      </c>
      <c r="E26" s="155">
        <f>IF(ISBLANK($A26), "", VLOOKUP($A26, 入力シート!$A$7:$J$1000, 7, FALSE))</f>
        <v>0</v>
      </c>
      <c r="F26" s="156">
        <f>IF(ISBLANK($A26), "", VLOOKUP($A26, 入力シート!$A$7:$J$1000, 10, FALSE))</f>
        <v>0</v>
      </c>
      <c r="G26" s="150">
        <f>IF(ISBLANK($A26), "", VLOOKUP($A26, 入力シート!$A$7:$J$1000, 9, FALSE))</f>
        <v>0</v>
      </c>
      <c r="H26" s="126">
        <f>IF(ISBLANK($A26), "", VLOOKUP($A26, 入力シート!$A$7:$J$1000, 8, FALSE))</f>
        <v>0</v>
      </c>
    </row>
    <row r="27" spans="1:16" ht="20.100000000000001" customHeight="1" x14ac:dyDescent="0.15">
      <c r="A27" s="152"/>
      <c r="B27" s="153"/>
      <c r="C27" s="160"/>
      <c r="D27" s="155"/>
      <c r="E27" s="155"/>
      <c r="F27" s="156"/>
      <c r="G27" s="151"/>
      <c r="H27" s="115"/>
    </row>
    <row r="28" spans="1:16" x14ac:dyDescent="0.15">
      <c r="B28" s="106">
        <v>0</v>
      </c>
      <c r="C28" s="108">
        <v>0</v>
      </c>
      <c r="D28" s="106">
        <v>0</v>
      </c>
      <c r="E28" s="106">
        <v>0</v>
      </c>
      <c r="H28" s="108"/>
      <c r="J28" s="106"/>
    </row>
    <row r="29" spans="1:16" ht="21" customHeight="1" x14ac:dyDescent="0.15">
      <c r="B29" s="180" t="s">
        <v>154</v>
      </c>
      <c r="C29" s="181"/>
      <c r="D29" s="181"/>
      <c r="E29" s="181"/>
      <c r="F29" s="181"/>
      <c r="G29" s="181"/>
      <c r="H29" s="181"/>
      <c r="I29" s="107"/>
      <c r="J29" s="107"/>
      <c r="K29" s="107"/>
      <c r="L29" s="107"/>
      <c r="M29" s="107"/>
      <c r="N29" s="107"/>
      <c r="O29" s="107"/>
    </row>
    <row r="30" spans="1:16" ht="21" customHeight="1" x14ac:dyDescent="0.15">
      <c r="B30" s="180" t="s">
        <v>155</v>
      </c>
      <c r="C30" s="181"/>
      <c r="D30" s="181"/>
      <c r="E30" s="181"/>
      <c r="F30" s="181"/>
      <c r="G30" s="181"/>
      <c r="H30" s="181"/>
      <c r="I30" s="107"/>
      <c r="J30" s="107"/>
      <c r="K30" s="107"/>
      <c r="L30" s="107"/>
      <c r="M30" s="107"/>
      <c r="N30" s="107"/>
      <c r="O30" s="107"/>
    </row>
    <row r="31" spans="1:16" x14ac:dyDescent="0.15">
      <c r="I31" s="108"/>
      <c r="J31" s="106"/>
    </row>
    <row r="32" spans="1:16" x14ac:dyDescent="0.15">
      <c r="I32" s="108"/>
      <c r="J32" s="106"/>
    </row>
    <row r="33" spans="2:10" ht="17.100000000000001" customHeight="1" x14ac:dyDescent="0.15">
      <c r="B33" s="130" t="s">
        <v>156</v>
      </c>
      <c r="I33" s="108"/>
      <c r="J33" s="106"/>
    </row>
    <row r="34" spans="2:10" ht="17.100000000000001" customHeight="1" x14ac:dyDescent="0.15">
      <c r="B34" s="106" t="s">
        <v>157</v>
      </c>
      <c r="I34" s="108"/>
      <c r="J34" s="106"/>
    </row>
    <row r="35" spans="2:10" ht="17.100000000000001" customHeight="1" x14ac:dyDescent="0.15">
      <c r="B35" s="106" t="s">
        <v>158</v>
      </c>
      <c r="I35" s="108"/>
      <c r="J35" s="106"/>
    </row>
    <row r="36" spans="2:10" ht="17.100000000000001" customHeight="1" x14ac:dyDescent="0.15">
      <c r="B36" s="106" t="s">
        <v>159</v>
      </c>
      <c r="I36" s="108"/>
      <c r="J36" s="106"/>
    </row>
    <row r="37" spans="2:10" ht="17.100000000000001" customHeight="1" x14ac:dyDescent="0.15">
      <c r="B37" s="106" t="s">
        <v>160</v>
      </c>
      <c r="I37" s="108"/>
      <c r="J37" s="106"/>
    </row>
    <row r="38" spans="2:10" x14ac:dyDescent="0.15">
      <c r="I38" s="108"/>
      <c r="J38" s="106"/>
    </row>
  </sheetData>
  <mergeCells count="86">
    <mergeCell ref="G26:G27"/>
    <mergeCell ref="B29:H29"/>
    <mergeCell ref="B30:H30"/>
    <mergeCell ref="A26:A27"/>
    <mergeCell ref="B26:B27"/>
    <mergeCell ref="C26:C27"/>
    <mergeCell ref="D26:D27"/>
    <mergeCell ref="E26:E27"/>
    <mergeCell ref="F26:F27"/>
    <mergeCell ref="G22:G23"/>
    <mergeCell ref="A24:A25"/>
    <mergeCell ref="B24:B25"/>
    <mergeCell ref="C24:C25"/>
    <mergeCell ref="D24:D25"/>
    <mergeCell ref="E24:E25"/>
    <mergeCell ref="F24:F25"/>
    <mergeCell ref="G24:G25"/>
    <mergeCell ref="A22:A23"/>
    <mergeCell ref="B22:B23"/>
    <mergeCell ref="C22:C23"/>
    <mergeCell ref="D22:D23"/>
    <mergeCell ref="E22:E23"/>
    <mergeCell ref="F22:F23"/>
    <mergeCell ref="G18:G19"/>
    <mergeCell ref="A20:A21"/>
    <mergeCell ref="B20:B21"/>
    <mergeCell ref="C20:C21"/>
    <mergeCell ref="D20:D21"/>
    <mergeCell ref="E20:E21"/>
    <mergeCell ref="F20:F21"/>
    <mergeCell ref="G20:G21"/>
    <mergeCell ref="A18:A19"/>
    <mergeCell ref="B18:B19"/>
    <mergeCell ref="C18:C19"/>
    <mergeCell ref="D18:D19"/>
    <mergeCell ref="E18:E19"/>
    <mergeCell ref="F18:F19"/>
    <mergeCell ref="G14:G15"/>
    <mergeCell ref="A16:A17"/>
    <mergeCell ref="B16:B17"/>
    <mergeCell ref="C16:C17"/>
    <mergeCell ref="D16:D17"/>
    <mergeCell ref="E16:E17"/>
    <mergeCell ref="F16:F17"/>
    <mergeCell ref="G16:G17"/>
    <mergeCell ref="A14:A15"/>
    <mergeCell ref="B14:B15"/>
    <mergeCell ref="C14:C15"/>
    <mergeCell ref="D14:D15"/>
    <mergeCell ref="E14:E15"/>
    <mergeCell ref="F14:F15"/>
    <mergeCell ref="G10:G11"/>
    <mergeCell ref="A12:A13"/>
    <mergeCell ref="B12:B13"/>
    <mergeCell ref="C12:C13"/>
    <mergeCell ref="D12:D13"/>
    <mergeCell ref="E12:E13"/>
    <mergeCell ref="F12:F13"/>
    <mergeCell ref="G12:G13"/>
    <mergeCell ref="A10:A11"/>
    <mergeCell ref="B10:B11"/>
    <mergeCell ref="C10:C11"/>
    <mergeCell ref="D10:D11"/>
    <mergeCell ref="E10:E11"/>
    <mergeCell ref="F10:F11"/>
    <mergeCell ref="G6:G7"/>
    <mergeCell ref="A8:A9"/>
    <mergeCell ref="B8:B9"/>
    <mergeCell ref="C8:C9"/>
    <mergeCell ref="D8:D9"/>
    <mergeCell ref="E8:E9"/>
    <mergeCell ref="F8:F9"/>
    <mergeCell ref="G8:G9"/>
    <mergeCell ref="A6:A7"/>
    <mergeCell ref="B6:B7"/>
    <mergeCell ref="C6:C7"/>
    <mergeCell ref="D6:D7"/>
    <mergeCell ref="E6:E7"/>
    <mergeCell ref="F6:F7"/>
    <mergeCell ref="B2:H2"/>
    <mergeCell ref="B4:B5"/>
    <mergeCell ref="C4:C5"/>
    <mergeCell ref="D4:D5"/>
    <mergeCell ref="E4:E5"/>
    <mergeCell ref="F4:F5"/>
    <mergeCell ref="G4:G5"/>
  </mergeCells>
  <phoneticPr fontId="2"/>
  <printOptions horizontalCentered="1"/>
  <pageMargins left="0.59055118110236227" right="0.31" top="0.98425196850393704" bottom="0.7" header="0.51181102362204722" footer="0.51181102362204722"/>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0CFA7-FE5F-43C2-B075-CDF8D21A2477}">
  <dimension ref="A1:P38"/>
  <sheetViews>
    <sheetView showZeros="0" zoomScaleNormal="100" zoomScaleSheetLayoutView="100" workbookViewId="0">
      <selection activeCell="C4" sqref="B4:H30"/>
    </sheetView>
  </sheetViews>
  <sheetFormatPr defaultRowHeight="13.5" x14ac:dyDescent="0.15"/>
  <cols>
    <col min="1" max="1" width="9" style="106"/>
    <col min="2" max="2" width="15.625" style="106" customWidth="1"/>
    <col min="3" max="3" width="8.625" style="108" customWidth="1"/>
    <col min="4" max="5" width="8.625" style="106" customWidth="1"/>
    <col min="6" max="7" width="11.625" style="106" customWidth="1"/>
    <col min="8" max="8" width="30.625" style="106" customWidth="1"/>
    <col min="9" max="9" width="21.75" style="106" customWidth="1"/>
    <col min="10" max="10" width="10" style="108" customWidth="1"/>
    <col min="11" max="12" width="10" style="106" customWidth="1"/>
    <col min="13" max="13" width="27.5" style="106" customWidth="1"/>
    <col min="14" max="14" width="12.5" style="106" customWidth="1"/>
    <col min="15" max="15" width="28.75" style="106" customWidth="1"/>
    <col min="16" max="16" width="15.375" style="106" customWidth="1"/>
    <col min="17" max="16384" width="9" style="106"/>
  </cols>
  <sheetData>
    <row r="1" spans="1:16" x14ac:dyDescent="0.15">
      <c r="B1" s="106" t="s">
        <v>149</v>
      </c>
    </row>
    <row r="2" spans="1:16" ht="34.5" customHeight="1" x14ac:dyDescent="0.15">
      <c r="B2" s="147" t="s">
        <v>21</v>
      </c>
      <c r="C2" s="147"/>
      <c r="D2" s="147"/>
      <c r="E2" s="147"/>
      <c r="F2" s="147"/>
      <c r="G2" s="147"/>
      <c r="H2" s="147"/>
      <c r="I2" s="107"/>
      <c r="J2" s="107"/>
      <c r="K2" s="107"/>
      <c r="L2" s="107"/>
      <c r="M2" s="107"/>
      <c r="N2" s="107"/>
      <c r="O2" s="107"/>
      <c r="P2" s="107"/>
    </row>
    <row r="3" spans="1:16" ht="20.100000000000001" customHeight="1" x14ac:dyDescent="0.15">
      <c r="G3" s="109"/>
      <c r="H3" s="109"/>
      <c r="M3" s="109"/>
      <c r="N3" s="109"/>
      <c r="O3" s="109"/>
      <c r="P3" s="109"/>
    </row>
    <row r="4" spans="1:16" ht="20.100000000000001" customHeight="1" x14ac:dyDescent="0.15">
      <c r="B4" s="148" t="s">
        <v>1</v>
      </c>
      <c r="C4" s="148" t="s">
        <v>2</v>
      </c>
      <c r="D4" s="148" t="s">
        <v>3</v>
      </c>
      <c r="E4" s="149" t="s">
        <v>150</v>
      </c>
      <c r="F4" s="149" t="s">
        <v>151</v>
      </c>
      <c r="G4" s="148" t="s">
        <v>20</v>
      </c>
      <c r="H4" s="110" t="s">
        <v>152</v>
      </c>
      <c r="I4" s="111"/>
      <c r="J4" s="111"/>
      <c r="K4" s="111"/>
      <c r="L4" s="111"/>
      <c r="M4" s="111"/>
      <c r="N4" s="111"/>
      <c r="O4" s="111"/>
      <c r="P4" s="111"/>
    </row>
    <row r="5" spans="1:16" ht="20.100000000000001" customHeight="1" x14ac:dyDescent="0.15">
      <c r="B5" s="148"/>
      <c r="C5" s="148"/>
      <c r="D5" s="148"/>
      <c r="E5" s="148"/>
      <c r="F5" s="149"/>
      <c r="G5" s="148"/>
      <c r="H5" s="110" t="s">
        <v>153</v>
      </c>
      <c r="O5" s="112"/>
      <c r="P5" s="108"/>
    </row>
    <row r="6" spans="1:16" ht="20.100000000000001" customHeight="1" x14ac:dyDescent="0.15">
      <c r="A6" s="152">
        <v>1</v>
      </c>
      <c r="B6" s="153" t="e">
        <f>IF(ISBLANK($A6), "", VLOOKUP($A6, 入力シート!$A$7:$J$1000, 3, FALSE))</f>
        <v>#REF!</v>
      </c>
      <c r="C6" s="160" t="e">
        <f>IF(ISBLANK($A6), "", VLOOKUP($A6, 入力シート!$A$7:$J$1000, 4, FALSE))</f>
        <v>#REF!</v>
      </c>
      <c r="D6" s="155" t="e">
        <f>IF(ISBLANK($A6), "", VLOOKUP($A6, 入力シート!$A$7:$J$1000, 6, FALSE))</f>
        <v>#REF!</v>
      </c>
      <c r="E6" s="155" t="e">
        <f>IF(ISBLANK($A6), "", VLOOKUP($A6, 入力シート!$A$7:$J$1000, 7, FALSE))</f>
        <v>#REF!</v>
      </c>
      <c r="F6" s="156" t="e">
        <f>IF(ISBLANK($A6), "", VLOOKUP($A6, 入力シート!$A$7:$J$1000, 10, FALSE))</f>
        <v>#REF!</v>
      </c>
      <c r="G6" s="150" t="e">
        <f>IF(ISBLANK($A6), "", VLOOKUP($A6, 入力シート!$A$7:$J$1000, 9, FALSE))</f>
        <v>#REF!</v>
      </c>
      <c r="H6" s="126" t="e">
        <f>IF(ISBLANK($A6), "", VLOOKUP($A6, 入力シート!$A$7:$J$1000, 8, FALSE))</f>
        <v>#REF!</v>
      </c>
    </row>
    <row r="7" spans="1:16" ht="20.100000000000001" customHeight="1" x14ac:dyDescent="0.15">
      <c r="A7" s="152"/>
      <c r="B7" s="153"/>
      <c r="C7" s="160"/>
      <c r="D7" s="155"/>
      <c r="E7" s="155"/>
      <c r="F7" s="156"/>
      <c r="G7" s="151"/>
      <c r="H7" s="115"/>
      <c r="O7" s="112"/>
      <c r="P7" s="108"/>
    </row>
    <row r="8" spans="1:16" ht="20.100000000000001" customHeight="1" x14ac:dyDescent="0.15">
      <c r="A8" s="152">
        <v>2</v>
      </c>
      <c r="B8" s="153" t="e">
        <f>IF(ISBLANK($A8), "", VLOOKUP($A8, 入力シート!$A$7:$J$1000, 3, FALSE))</f>
        <v>#REF!</v>
      </c>
      <c r="C8" s="160" t="e">
        <f>IF(ISBLANK($A8), "", VLOOKUP($A8, 入力シート!$A$7:$J$1000, 4, FALSE))</f>
        <v>#REF!</v>
      </c>
      <c r="D8" s="155" t="e">
        <f>IF(ISBLANK($A8), "", VLOOKUP($A8, 入力シート!$A$7:$J$1000, 6, FALSE))</f>
        <v>#REF!</v>
      </c>
      <c r="E8" s="155" t="e">
        <f>IF(ISBLANK($A8), "", VLOOKUP($A8, 入力シート!$A$7:$J$1000, 7, FALSE))</f>
        <v>#REF!</v>
      </c>
      <c r="F8" s="156" t="e">
        <f>IF(ISBLANK($A8), "", VLOOKUP($A8, 入力シート!$A$7:$J$1000, 10, FALSE))</f>
        <v>#REF!</v>
      </c>
      <c r="G8" s="150" t="e">
        <f>IF(ISBLANK($A8), "", VLOOKUP($A8, 入力シート!$A$7:$J$1000, 9, FALSE))</f>
        <v>#REF!</v>
      </c>
      <c r="H8" s="126" t="e">
        <f>IF(ISBLANK($A8), "", VLOOKUP($A8, 入力シート!$A$7:$J$1000, 8, FALSE))</f>
        <v>#REF!</v>
      </c>
    </row>
    <row r="9" spans="1:16" ht="20.100000000000001" customHeight="1" x14ac:dyDescent="0.15">
      <c r="A9" s="152"/>
      <c r="B9" s="153"/>
      <c r="C9" s="160"/>
      <c r="D9" s="155"/>
      <c r="E9" s="155"/>
      <c r="F9" s="156"/>
      <c r="G9" s="151"/>
      <c r="H9" s="115"/>
      <c r="O9" s="112"/>
      <c r="P9" s="108"/>
    </row>
    <row r="10" spans="1:16" ht="20.100000000000001" customHeight="1" x14ac:dyDescent="0.15">
      <c r="A10" s="152">
        <v>3</v>
      </c>
      <c r="B10" s="153" t="e">
        <f>IF(ISBLANK($A10), "", VLOOKUP($A10, 入力シート!$A$7:$J$1000, 3, FALSE))</f>
        <v>#REF!</v>
      </c>
      <c r="C10" s="160" t="e">
        <f>IF(ISBLANK($A10), "", VLOOKUP($A10, 入力シート!$A$7:$J$1000, 4, FALSE))</f>
        <v>#REF!</v>
      </c>
      <c r="D10" s="155" t="e">
        <f>IF(ISBLANK($A10), "", VLOOKUP($A10, 入力シート!$A$7:$J$1000, 6, FALSE))</f>
        <v>#REF!</v>
      </c>
      <c r="E10" s="155" t="e">
        <f>IF(ISBLANK($A10), "", VLOOKUP($A10, 入力シート!$A$7:$J$1000, 7, FALSE))</f>
        <v>#REF!</v>
      </c>
      <c r="F10" s="156" t="e">
        <f>IF(ISBLANK($A10), "", VLOOKUP($A10, 入力シート!$A$7:$J$1000, 10, FALSE))</f>
        <v>#REF!</v>
      </c>
      <c r="G10" s="150" t="e">
        <f>IF(ISBLANK($A10), "", VLOOKUP($A10, 入力シート!$A$7:$J$1000, 9, FALSE))</f>
        <v>#REF!</v>
      </c>
      <c r="H10" s="126" t="e">
        <f>IF(ISBLANK($A10), "", VLOOKUP($A10, 入力シート!$A$7:$J$1000, 8, FALSE))</f>
        <v>#REF!</v>
      </c>
    </row>
    <row r="11" spans="1:16" ht="20.100000000000001" customHeight="1" x14ac:dyDescent="0.15">
      <c r="A11" s="152"/>
      <c r="B11" s="153"/>
      <c r="C11" s="160"/>
      <c r="D11" s="155"/>
      <c r="E11" s="155"/>
      <c r="F11" s="156"/>
      <c r="G11" s="151"/>
      <c r="H11" s="115"/>
      <c r="O11" s="112"/>
      <c r="P11" s="108"/>
    </row>
    <row r="12" spans="1:16" ht="20.100000000000001" customHeight="1" x14ac:dyDescent="0.15">
      <c r="A12" s="152">
        <v>4</v>
      </c>
      <c r="B12" s="153" t="e">
        <f>IF(ISBLANK($A12), "", VLOOKUP($A12, 入力シート!$A$7:$J$1000, 3, FALSE))</f>
        <v>#REF!</v>
      </c>
      <c r="C12" s="160" t="e">
        <f>IF(ISBLANK($A12), "", VLOOKUP($A12, 入力シート!$A$7:$J$1000, 4, FALSE))</f>
        <v>#REF!</v>
      </c>
      <c r="D12" s="155" t="e">
        <f>IF(ISBLANK($A12), "", VLOOKUP($A12, 入力シート!$A$7:$J$1000, 6, FALSE))</f>
        <v>#REF!</v>
      </c>
      <c r="E12" s="155" t="e">
        <f>IF(ISBLANK($A12), "", VLOOKUP($A12, 入力シート!$A$7:$J$1000, 7, FALSE))</f>
        <v>#REF!</v>
      </c>
      <c r="F12" s="156" t="e">
        <f>IF(ISBLANK($A12), "", VLOOKUP($A12, 入力シート!$A$7:$J$1000, 10, FALSE))</f>
        <v>#REF!</v>
      </c>
      <c r="G12" s="150" t="e">
        <f>IF(ISBLANK($A12), "", VLOOKUP($A12, 入力シート!$A$7:$J$1000, 9, FALSE))</f>
        <v>#REF!</v>
      </c>
      <c r="H12" s="126" t="e">
        <f>IF(ISBLANK($A12), "", VLOOKUP($A12, 入力シート!$A$7:$J$1000, 8, FALSE))</f>
        <v>#REF!</v>
      </c>
    </row>
    <row r="13" spans="1:16" ht="20.100000000000001" customHeight="1" x14ac:dyDescent="0.15">
      <c r="A13" s="152"/>
      <c r="B13" s="153"/>
      <c r="C13" s="160"/>
      <c r="D13" s="155"/>
      <c r="E13" s="155"/>
      <c r="F13" s="156"/>
      <c r="G13" s="151"/>
      <c r="H13" s="115"/>
      <c r="O13" s="112"/>
      <c r="P13" s="108"/>
    </row>
    <row r="14" spans="1:16" ht="20.100000000000001" customHeight="1" x14ac:dyDescent="0.15">
      <c r="A14" s="152">
        <v>5</v>
      </c>
      <c r="B14" s="153" t="e">
        <f>IF(ISBLANK($A14), "", VLOOKUP($A14, 入力シート!$A$7:$J$1000, 3, FALSE))</f>
        <v>#REF!</v>
      </c>
      <c r="C14" s="160" t="e">
        <f>IF(ISBLANK($A14), "", VLOOKUP($A14, 入力シート!$A$7:$J$1000, 4, FALSE))</f>
        <v>#REF!</v>
      </c>
      <c r="D14" s="155" t="e">
        <f>IF(ISBLANK($A14), "", VLOOKUP($A14, 入力シート!$A$7:$J$1000, 6, FALSE))</f>
        <v>#REF!</v>
      </c>
      <c r="E14" s="155" t="e">
        <f>IF(ISBLANK($A14), "", VLOOKUP($A14, 入力シート!$A$7:$J$1000, 7, FALSE))</f>
        <v>#REF!</v>
      </c>
      <c r="F14" s="156" t="e">
        <f>IF(ISBLANK($A14), "", VLOOKUP($A14, 入力シート!$A$7:$J$1000, 10, FALSE))</f>
        <v>#REF!</v>
      </c>
      <c r="G14" s="150" t="e">
        <f>IF(ISBLANK($A14), "", VLOOKUP($A14, 入力シート!$A$7:$J$1000, 9, FALSE))</f>
        <v>#REF!</v>
      </c>
      <c r="H14" s="126" t="e">
        <f>IF(ISBLANK($A14), "", VLOOKUP($A14, 入力シート!$A$7:$J$1000, 8, FALSE))</f>
        <v>#REF!</v>
      </c>
    </row>
    <row r="15" spans="1:16" ht="20.100000000000001" customHeight="1" x14ac:dyDescent="0.15">
      <c r="A15" s="152"/>
      <c r="B15" s="153"/>
      <c r="C15" s="160"/>
      <c r="D15" s="155"/>
      <c r="E15" s="155"/>
      <c r="F15" s="156"/>
      <c r="G15" s="151"/>
      <c r="H15" s="115"/>
      <c r="O15" s="112"/>
      <c r="P15" s="108"/>
    </row>
    <row r="16" spans="1:16" ht="20.100000000000001" customHeight="1" x14ac:dyDescent="0.15">
      <c r="A16" s="152">
        <v>6</v>
      </c>
      <c r="B16" s="153" t="e">
        <f>IF(ISBLANK($A16), "", VLOOKUP($A16, 入力シート!$A$7:$J$1000, 3, FALSE))</f>
        <v>#REF!</v>
      </c>
      <c r="C16" s="160" t="e">
        <f>IF(ISBLANK($A16), "", VLOOKUP($A16, 入力シート!$A$7:$J$1000, 4, FALSE))</f>
        <v>#REF!</v>
      </c>
      <c r="D16" s="155" t="e">
        <f>IF(ISBLANK($A16), "", VLOOKUP($A16, 入力シート!$A$7:$J$1000, 6, FALSE))</f>
        <v>#REF!</v>
      </c>
      <c r="E16" s="155" t="e">
        <f>IF(ISBLANK($A16), "", VLOOKUP($A16, 入力シート!$A$7:$J$1000, 7, FALSE))</f>
        <v>#REF!</v>
      </c>
      <c r="F16" s="156" t="e">
        <f>IF(ISBLANK($A16), "", VLOOKUP($A16, 入力シート!$A$7:$J$1000, 10, FALSE))</f>
        <v>#REF!</v>
      </c>
      <c r="G16" s="150" t="e">
        <f>IF(ISBLANK($A16), "", VLOOKUP($A16, 入力シート!$A$7:$J$1000, 9, FALSE))</f>
        <v>#REF!</v>
      </c>
      <c r="H16" s="126" t="e">
        <f>IF(ISBLANK($A16), "", VLOOKUP($A16, 入力シート!$A$7:$J$1000, 8, FALSE))</f>
        <v>#REF!</v>
      </c>
    </row>
    <row r="17" spans="1:16" ht="20.100000000000001" customHeight="1" x14ac:dyDescent="0.15">
      <c r="A17" s="152"/>
      <c r="B17" s="153"/>
      <c r="C17" s="160"/>
      <c r="D17" s="155"/>
      <c r="E17" s="155"/>
      <c r="F17" s="156"/>
      <c r="G17" s="151"/>
      <c r="H17" s="115"/>
      <c r="O17" s="112"/>
      <c r="P17" s="108"/>
    </row>
    <row r="18" spans="1:16" ht="20.100000000000001" customHeight="1" x14ac:dyDescent="0.15">
      <c r="A18" s="152">
        <v>7</v>
      </c>
      <c r="B18" s="153">
        <f>IF(ISBLANK($A18), "", VLOOKUP($A18, 入力シート!$A$7:$J$1000, 3, FALSE))</f>
        <v>0</v>
      </c>
      <c r="C18" s="160">
        <f>IF(ISBLANK($A18), "", VLOOKUP($A18, 入力シート!$A$7:$J$1000, 4, FALSE))</f>
        <v>0</v>
      </c>
      <c r="D18" s="155">
        <f>IF(ISBLANK($A18), "", VLOOKUP($A18, 入力シート!$A$7:$J$1000, 6, FALSE))</f>
        <v>0</v>
      </c>
      <c r="E18" s="155">
        <f>IF(ISBLANK($A18), "", VLOOKUP($A18, 入力シート!$A$7:$J$1000, 7, FALSE))</f>
        <v>0</v>
      </c>
      <c r="F18" s="156">
        <f>IF(ISBLANK($A18), "", VLOOKUP($A18, 入力シート!$A$7:$J$1000, 10, FALSE))</f>
        <v>0</v>
      </c>
      <c r="G18" s="150">
        <f>IF(ISBLANK($A18), "", VLOOKUP($A18, 入力シート!$A$7:$J$1000, 9, FALSE))</f>
        <v>0</v>
      </c>
      <c r="H18" s="126">
        <f>IF(ISBLANK($A18), "", VLOOKUP($A18, 入力シート!$A$7:$J$1000, 8, FALSE))</f>
        <v>0</v>
      </c>
    </row>
    <row r="19" spans="1:16" ht="20.100000000000001" customHeight="1" x14ac:dyDescent="0.15">
      <c r="A19" s="152"/>
      <c r="B19" s="153"/>
      <c r="C19" s="160"/>
      <c r="D19" s="155"/>
      <c r="E19" s="155"/>
      <c r="F19" s="156"/>
      <c r="G19" s="151"/>
      <c r="H19" s="115"/>
      <c r="O19" s="112"/>
      <c r="P19" s="108"/>
    </row>
    <row r="20" spans="1:16" ht="20.100000000000001" customHeight="1" x14ac:dyDescent="0.15">
      <c r="A20" s="152">
        <v>8</v>
      </c>
      <c r="B20" s="153">
        <f>IF(ISBLANK($A20), "", VLOOKUP($A20, 入力シート!$A$7:$J$1000, 3, FALSE))</f>
        <v>0</v>
      </c>
      <c r="C20" s="160">
        <f>IF(ISBLANK($A20), "", VLOOKUP($A20, 入力シート!$A$7:$J$1000, 4, FALSE))</f>
        <v>0</v>
      </c>
      <c r="D20" s="155">
        <f>IF(ISBLANK($A20), "", VLOOKUP($A20, 入力シート!$A$7:$J$1000, 6, FALSE))</f>
        <v>0</v>
      </c>
      <c r="E20" s="155">
        <f>IF(ISBLANK($A20), "", VLOOKUP($A20, 入力シート!$A$7:$J$1000, 7, FALSE))</f>
        <v>0</v>
      </c>
      <c r="F20" s="156">
        <f>IF(ISBLANK($A20), "", VLOOKUP($A20, 入力シート!$A$7:$J$1000, 10, FALSE))</f>
        <v>0</v>
      </c>
      <c r="G20" s="150">
        <f>IF(ISBLANK($A20), "", VLOOKUP($A20, 入力シート!$A$7:$J$1000, 9, FALSE))</f>
        <v>0</v>
      </c>
      <c r="H20" s="126">
        <f>IF(ISBLANK($A20), "", VLOOKUP($A20, 入力シート!$A$7:$J$1000, 8, FALSE))</f>
        <v>0</v>
      </c>
    </row>
    <row r="21" spans="1:16" ht="20.100000000000001" customHeight="1" x14ac:dyDescent="0.15">
      <c r="A21" s="152"/>
      <c r="B21" s="153"/>
      <c r="C21" s="160"/>
      <c r="D21" s="155"/>
      <c r="E21" s="155"/>
      <c r="F21" s="156"/>
      <c r="G21" s="151"/>
      <c r="H21" s="115"/>
      <c r="O21" s="112"/>
      <c r="P21" s="108"/>
    </row>
    <row r="22" spans="1:16" ht="20.100000000000001" customHeight="1" x14ac:dyDescent="0.15">
      <c r="A22" s="152">
        <v>9</v>
      </c>
      <c r="B22" s="153">
        <f>IF(ISBLANK($A22), "", VLOOKUP($A22, 入力シート!$A$7:$J$1000, 3, FALSE))</f>
        <v>0</v>
      </c>
      <c r="C22" s="160">
        <f>IF(ISBLANK($A22), "", VLOOKUP($A22, 入力シート!$A$7:$J$1000, 4, FALSE))</f>
        <v>0</v>
      </c>
      <c r="D22" s="155">
        <f>IF(ISBLANK($A22), "", VLOOKUP($A22, 入力シート!$A$7:$J$1000, 6, FALSE))</f>
        <v>0</v>
      </c>
      <c r="E22" s="155">
        <f>IF(ISBLANK($A22), "", VLOOKUP($A22, 入力シート!$A$7:$J$1000, 7, FALSE))</f>
        <v>0</v>
      </c>
      <c r="F22" s="156">
        <f>IF(ISBLANK($A22), "", VLOOKUP($A22, 入力シート!$A$7:$J$1000, 10, FALSE))</f>
        <v>0</v>
      </c>
      <c r="G22" s="150">
        <f>IF(ISBLANK($A22), "", VLOOKUP($A22, 入力シート!$A$7:$J$1000, 9, FALSE))</f>
        <v>0</v>
      </c>
      <c r="H22" s="126">
        <f>IF(ISBLANK($A22), "", VLOOKUP($A22, 入力シート!$A$7:$J$1000, 8, FALSE))</f>
        <v>0</v>
      </c>
    </row>
    <row r="23" spans="1:16" ht="20.100000000000001" customHeight="1" x14ac:dyDescent="0.15">
      <c r="A23" s="152"/>
      <c r="B23" s="153"/>
      <c r="C23" s="160"/>
      <c r="D23" s="155"/>
      <c r="E23" s="155"/>
      <c r="F23" s="156"/>
      <c r="G23" s="151"/>
      <c r="H23" s="115"/>
      <c r="O23" s="112"/>
      <c r="P23" s="108"/>
    </row>
    <row r="24" spans="1:16" ht="20.100000000000001" customHeight="1" x14ac:dyDescent="0.15">
      <c r="A24" s="152">
        <v>10</v>
      </c>
      <c r="B24" s="153">
        <f>IF(ISBLANK($A24), "", VLOOKUP($A24, 入力シート!$A$7:$J$1000, 3, FALSE))</f>
        <v>0</v>
      </c>
      <c r="C24" s="160">
        <f>IF(ISBLANK($A24), "", VLOOKUP($A24, 入力シート!$A$7:$J$1000, 4, FALSE))</f>
        <v>0</v>
      </c>
      <c r="D24" s="155">
        <f>IF(ISBLANK($A24), "", VLOOKUP($A24, 入力シート!$A$7:$J$1000, 6, FALSE))</f>
        <v>0</v>
      </c>
      <c r="E24" s="155">
        <f>IF(ISBLANK($A24), "", VLOOKUP($A24, 入力シート!$A$7:$J$1000, 7, FALSE))</f>
        <v>0</v>
      </c>
      <c r="F24" s="156">
        <f>IF(ISBLANK($A24), "", VLOOKUP($A24, 入力シート!$A$7:$J$1000, 10, FALSE))</f>
        <v>0</v>
      </c>
      <c r="G24" s="150">
        <f>IF(ISBLANK($A24), "", VLOOKUP($A24, 入力シート!$A$7:$J$1000, 9, FALSE))</f>
        <v>0</v>
      </c>
      <c r="H24" s="126">
        <f>IF(ISBLANK($A24), "", VLOOKUP($A24, 入力シート!$A$7:$J$1000, 8, FALSE))</f>
        <v>0</v>
      </c>
    </row>
    <row r="25" spans="1:16" ht="20.100000000000001" customHeight="1" x14ac:dyDescent="0.15">
      <c r="A25" s="152"/>
      <c r="B25" s="153"/>
      <c r="C25" s="160"/>
      <c r="D25" s="155"/>
      <c r="E25" s="155"/>
      <c r="F25" s="156"/>
      <c r="G25" s="151"/>
      <c r="H25" s="115"/>
      <c r="O25" s="112"/>
      <c r="P25" s="108"/>
    </row>
    <row r="26" spans="1:16" ht="20.100000000000001" customHeight="1" x14ac:dyDescent="0.15">
      <c r="A26" s="152">
        <v>11</v>
      </c>
      <c r="B26" s="153">
        <f>IF(ISBLANK($A26), "", VLOOKUP($A26, 入力シート!$A$7:$J$1000, 3, FALSE))</f>
        <v>0</v>
      </c>
      <c r="C26" s="160">
        <f>IF(ISBLANK($A26), "", VLOOKUP($A26, 入力シート!$A$7:$J$1000, 4, FALSE))</f>
        <v>0</v>
      </c>
      <c r="D26" s="155">
        <f>IF(ISBLANK($A26), "", VLOOKUP($A26, 入力シート!$A$7:$J$1000, 6, FALSE))</f>
        <v>0</v>
      </c>
      <c r="E26" s="155">
        <f>IF(ISBLANK($A26), "", VLOOKUP($A26, 入力シート!$A$7:$J$1000, 7, FALSE))</f>
        <v>0</v>
      </c>
      <c r="F26" s="156">
        <f>IF(ISBLANK($A26), "", VLOOKUP($A26, 入力シート!$A$7:$J$1000, 10, FALSE))</f>
        <v>0</v>
      </c>
      <c r="G26" s="150">
        <f>IF(ISBLANK($A26), "", VLOOKUP($A26, 入力シート!$A$7:$J$1000, 9, FALSE))</f>
        <v>0</v>
      </c>
      <c r="H26" s="126">
        <f>IF(ISBLANK($A26), "", VLOOKUP($A26, 入力シート!$A$7:$J$1000, 8, FALSE))</f>
        <v>0</v>
      </c>
    </row>
    <row r="27" spans="1:16" ht="20.100000000000001" customHeight="1" x14ac:dyDescent="0.15">
      <c r="A27" s="152"/>
      <c r="B27" s="153"/>
      <c r="C27" s="160"/>
      <c r="D27" s="155"/>
      <c r="E27" s="155"/>
      <c r="F27" s="156"/>
      <c r="G27" s="151"/>
      <c r="H27" s="115"/>
    </row>
    <row r="28" spans="1:16" x14ac:dyDescent="0.15">
      <c r="B28" s="106">
        <v>0</v>
      </c>
      <c r="C28" s="108">
        <v>0</v>
      </c>
      <c r="D28" s="106">
        <v>0</v>
      </c>
      <c r="E28" s="106">
        <v>0</v>
      </c>
      <c r="H28" s="108"/>
      <c r="J28" s="106"/>
    </row>
    <row r="29" spans="1:16" ht="21" customHeight="1" x14ac:dyDescent="0.15">
      <c r="B29" s="180" t="s">
        <v>154</v>
      </c>
      <c r="C29" s="181"/>
      <c r="D29" s="181"/>
      <c r="E29" s="181"/>
      <c r="F29" s="181"/>
      <c r="G29" s="181"/>
      <c r="H29" s="181"/>
      <c r="I29" s="107"/>
      <c r="J29" s="107"/>
      <c r="K29" s="107"/>
      <c r="L29" s="107"/>
      <c r="M29" s="107"/>
      <c r="N29" s="107"/>
      <c r="O29" s="107"/>
    </row>
    <row r="30" spans="1:16" ht="21" customHeight="1" x14ac:dyDescent="0.15">
      <c r="B30" s="180" t="s">
        <v>155</v>
      </c>
      <c r="C30" s="181"/>
      <c r="D30" s="181"/>
      <c r="E30" s="181"/>
      <c r="F30" s="181"/>
      <c r="G30" s="181"/>
      <c r="H30" s="181"/>
      <c r="I30" s="107"/>
      <c r="J30" s="107"/>
      <c r="K30" s="107"/>
      <c r="L30" s="107"/>
      <c r="M30" s="107"/>
      <c r="N30" s="107"/>
      <c r="O30" s="107"/>
    </row>
    <row r="31" spans="1:16" x14ac:dyDescent="0.15">
      <c r="I31" s="108"/>
      <c r="J31" s="106"/>
    </row>
    <row r="32" spans="1:16" x14ac:dyDescent="0.15">
      <c r="I32" s="108"/>
      <c r="J32" s="106"/>
    </row>
    <row r="33" spans="2:10" ht="17.100000000000001" customHeight="1" x14ac:dyDescent="0.15">
      <c r="B33" s="130" t="s">
        <v>156</v>
      </c>
      <c r="I33" s="108"/>
      <c r="J33" s="106"/>
    </row>
    <row r="34" spans="2:10" ht="17.100000000000001" customHeight="1" x14ac:dyDescent="0.15">
      <c r="B34" s="106" t="s">
        <v>157</v>
      </c>
      <c r="I34" s="108"/>
      <c r="J34" s="106"/>
    </row>
    <row r="35" spans="2:10" ht="17.100000000000001" customHeight="1" x14ac:dyDescent="0.15">
      <c r="B35" s="106" t="s">
        <v>158</v>
      </c>
      <c r="I35" s="108"/>
      <c r="J35" s="106"/>
    </row>
    <row r="36" spans="2:10" ht="17.100000000000001" customHeight="1" x14ac:dyDescent="0.15">
      <c r="B36" s="106" t="s">
        <v>159</v>
      </c>
      <c r="I36" s="108"/>
      <c r="J36" s="106"/>
    </row>
    <row r="37" spans="2:10" ht="17.100000000000001" customHeight="1" x14ac:dyDescent="0.15">
      <c r="B37" s="106" t="s">
        <v>160</v>
      </c>
      <c r="I37" s="108"/>
      <c r="J37" s="106"/>
    </row>
    <row r="38" spans="2:10" x14ac:dyDescent="0.15">
      <c r="I38" s="108"/>
      <c r="J38" s="106"/>
    </row>
  </sheetData>
  <mergeCells count="86">
    <mergeCell ref="G26:G27"/>
    <mergeCell ref="B29:H29"/>
    <mergeCell ref="B30:H30"/>
    <mergeCell ref="A26:A27"/>
    <mergeCell ref="B26:B27"/>
    <mergeCell ref="C26:C27"/>
    <mergeCell ref="D26:D27"/>
    <mergeCell ref="E26:E27"/>
    <mergeCell ref="F26:F27"/>
    <mergeCell ref="G22:G23"/>
    <mergeCell ref="A24:A25"/>
    <mergeCell ref="B24:B25"/>
    <mergeCell ref="C24:C25"/>
    <mergeCell ref="D24:D25"/>
    <mergeCell ref="E24:E25"/>
    <mergeCell ref="F24:F25"/>
    <mergeCell ref="G24:G25"/>
    <mergeCell ref="A22:A23"/>
    <mergeCell ref="B22:B23"/>
    <mergeCell ref="C22:C23"/>
    <mergeCell ref="D22:D23"/>
    <mergeCell ref="E22:E23"/>
    <mergeCell ref="F22:F23"/>
    <mergeCell ref="G18:G19"/>
    <mergeCell ref="A20:A21"/>
    <mergeCell ref="B20:B21"/>
    <mergeCell ref="C20:C21"/>
    <mergeCell ref="D20:D21"/>
    <mergeCell ref="E20:E21"/>
    <mergeCell ref="F20:F21"/>
    <mergeCell ref="G20:G21"/>
    <mergeCell ref="A18:A19"/>
    <mergeCell ref="B18:B19"/>
    <mergeCell ref="C18:C19"/>
    <mergeCell ref="D18:D19"/>
    <mergeCell ref="E18:E19"/>
    <mergeCell ref="F18:F19"/>
    <mergeCell ref="G14:G15"/>
    <mergeCell ref="A16:A17"/>
    <mergeCell ref="B16:B17"/>
    <mergeCell ref="C16:C17"/>
    <mergeCell ref="D16:D17"/>
    <mergeCell ref="E16:E17"/>
    <mergeCell ref="F16:F17"/>
    <mergeCell ref="G16:G17"/>
    <mergeCell ref="A14:A15"/>
    <mergeCell ref="B14:B15"/>
    <mergeCell ref="C14:C15"/>
    <mergeCell ref="D14:D15"/>
    <mergeCell ref="E14:E15"/>
    <mergeCell ref="F14:F15"/>
    <mergeCell ref="G10:G11"/>
    <mergeCell ref="A12:A13"/>
    <mergeCell ref="B12:B13"/>
    <mergeCell ref="C12:C13"/>
    <mergeCell ref="D12:D13"/>
    <mergeCell ref="E12:E13"/>
    <mergeCell ref="F12:F13"/>
    <mergeCell ref="G12:G13"/>
    <mergeCell ref="A10:A11"/>
    <mergeCell ref="B10:B11"/>
    <mergeCell ref="C10:C11"/>
    <mergeCell ref="D10:D11"/>
    <mergeCell ref="E10:E11"/>
    <mergeCell ref="F10:F11"/>
    <mergeCell ref="G6:G7"/>
    <mergeCell ref="A8:A9"/>
    <mergeCell ref="B8:B9"/>
    <mergeCell ref="C8:C9"/>
    <mergeCell ref="D8:D9"/>
    <mergeCell ref="E8:E9"/>
    <mergeCell ref="F8:F9"/>
    <mergeCell ref="G8:G9"/>
    <mergeCell ref="A6:A7"/>
    <mergeCell ref="B6:B7"/>
    <mergeCell ref="C6:C7"/>
    <mergeCell ref="D6:D7"/>
    <mergeCell ref="E6:E7"/>
    <mergeCell ref="F6:F7"/>
    <mergeCell ref="B2:H2"/>
    <mergeCell ref="B4:B5"/>
    <mergeCell ref="C4:C5"/>
    <mergeCell ref="D4:D5"/>
    <mergeCell ref="E4:E5"/>
    <mergeCell ref="F4:F5"/>
    <mergeCell ref="G4:G5"/>
  </mergeCells>
  <phoneticPr fontId="2"/>
  <printOptions horizontalCentered="1"/>
  <pageMargins left="0.59055118110236227" right="0.31" top="0.98425196850393704" bottom="0.7" header="0.51181102362204722" footer="0.51181102362204722"/>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CD0CC-BA84-4401-8A3E-FBB423026DF7}">
  <dimension ref="A1:K60"/>
  <sheetViews>
    <sheetView showZeros="0" zoomScaleNormal="100" zoomScaleSheetLayoutView="100" workbookViewId="0">
      <selection activeCell="A13" sqref="A13"/>
    </sheetView>
  </sheetViews>
  <sheetFormatPr defaultRowHeight="13.5" x14ac:dyDescent="0.15"/>
  <cols>
    <col min="1" max="1" width="9" style="106"/>
    <col min="2" max="2" width="15.625" style="108" customWidth="1"/>
    <col min="3" max="3" width="15.625" style="106" customWidth="1"/>
    <col min="4" max="4" width="20.625" style="106" customWidth="1"/>
    <col min="5" max="5" width="50.625" style="106" customWidth="1"/>
    <col min="6" max="6" width="20.625" style="106" customWidth="1"/>
    <col min="7" max="7" width="8.625" style="106" customWidth="1"/>
    <col min="8" max="8" width="10" style="108" customWidth="1"/>
    <col min="9" max="16384" width="9" style="106"/>
  </cols>
  <sheetData>
    <row r="1" spans="1:8" ht="34.5" customHeight="1" x14ac:dyDescent="0.15">
      <c r="B1" s="183" t="s">
        <v>161</v>
      </c>
      <c r="C1" s="184"/>
      <c r="D1" s="131"/>
      <c r="E1" s="131"/>
      <c r="F1" s="131"/>
      <c r="G1" s="131"/>
      <c r="H1" s="107"/>
    </row>
    <row r="2" spans="1:8" ht="21" customHeight="1" x14ac:dyDescent="0.15">
      <c r="B2" s="170" t="s">
        <v>1</v>
      </c>
      <c r="C2" s="173"/>
      <c r="D2" s="174"/>
      <c r="E2" s="174"/>
      <c r="F2" s="185">
        <f ca="1">TODAY()</f>
        <v>45779</v>
      </c>
      <c r="G2" s="186"/>
    </row>
    <row r="3" spans="1:8" ht="21" customHeight="1" x14ac:dyDescent="0.15">
      <c r="B3" s="172"/>
      <c r="C3" s="174"/>
      <c r="D3" s="174"/>
      <c r="E3" s="174"/>
      <c r="F3" s="151"/>
      <c r="G3" s="187"/>
    </row>
    <row r="4" spans="1:8" ht="24.75" customHeight="1" x14ac:dyDescent="0.15">
      <c r="B4" s="124" t="s">
        <v>2</v>
      </c>
      <c r="C4" s="124" t="s">
        <v>3</v>
      </c>
      <c r="D4" s="124" t="s">
        <v>162</v>
      </c>
      <c r="E4" s="132" t="s">
        <v>163</v>
      </c>
      <c r="F4" s="124" t="s">
        <v>164</v>
      </c>
      <c r="G4" s="124" t="s">
        <v>165</v>
      </c>
      <c r="H4" s="111"/>
    </row>
    <row r="5" spans="1:8" ht="24.95" customHeight="1" x14ac:dyDescent="0.15">
      <c r="A5" s="106">
        <v>1</v>
      </c>
      <c r="B5" s="114" t="e">
        <f>IF(ISBLANK($A6), "", VLOOKUP($A6, 入力シート!$A$7:$J$1000, 4, FALSE))</f>
        <v>#REF!</v>
      </c>
      <c r="C5" s="114" t="e">
        <f>IF(ISBLANK($A6), "", VLOOKUP($A6, 入力シート!$A$7:$J$1000, 6, FALSE))</f>
        <v>#REF!</v>
      </c>
      <c r="D5" s="114" t="e">
        <f>IF(ISBLANK($A6), "", VLOOKUP($A6, 入力シート!$A$7:$J$1000, 7, FALSE))</f>
        <v>#REF!</v>
      </c>
      <c r="E5" s="133" t="e">
        <f>IF(ISBLANK($A6), "", VLOOKUP($A6, 入力シート!$A$7:$J$1000, 8, FALSE))</f>
        <v>#REF!</v>
      </c>
      <c r="F5" s="115" t="e">
        <f>IF(ISBLANK($A6), "", VLOOKUP($A6, 入力シート!$A$7:$J$1000, 9, FALSE))</f>
        <v>#REF!</v>
      </c>
      <c r="G5" s="134"/>
    </row>
    <row r="6" spans="1:8" ht="24.95" customHeight="1" x14ac:dyDescent="0.15">
      <c r="A6" s="106">
        <v>2</v>
      </c>
      <c r="B6" s="114" t="e">
        <f>IF(ISBLANK($A7), "", VLOOKUP($A7, 入力シート!$A$7:$J$1000, 4, FALSE))</f>
        <v>#REF!</v>
      </c>
      <c r="C6" s="114" t="e">
        <f>IF(ISBLANK($A7), "", VLOOKUP($A7, 入力シート!$A$7:$J$1000, 6, FALSE))</f>
        <v>#REF!</v>
      </c>
      <c r="D6" s="114" t="e">
        <f>IF(ISBLANK($A7), "", VLOOKUP($A7, 入力シート!$A$7:$J$1000, 7, FALSE))</f>
        <v>#REF!</v>
      </c>
      <c r="E6" s="133" t="e">
        <f>IF(ISBLANK($A7), "", VLOOKUP($A7, 入力シート!$A$7:$J$1000, 8, FALSE))</f>
        <v>#REF!</v>
      </c>
      <c r="F6" s="115" t="e">
        <f>IF(ISBLANK($A7), "", VLOOKUP($A7, 入力シート!$A$7:$J$1000, 9, FALSE))</f>
        <v>#REF!</v>
      </c>
      <c r="G6" s="134"/>
    </row>
    <row r="7" spans="1:8" ht="24.95" customHeight="1" x14ac:dyDescent="0.15">
      <c r="A7" s="106">
        <v>3</v>
      </c>
      <c r="B7" s="114" t="e">
        <f>IF(ISBLANK($A8), "", VLOOKUP($A8, 入力シート!$A$7:$J$1000, 4, FALSE))</f>
        <v>#REF!</v>
      </c>
      <c r="C7" s="114" t="e">
        <f>IF(ISBLANK($A8), "", VLOOKUP($A8, 入力シート!$A$7:$J$1000, 6, FALSE))</f>
        <v>#REF!</v>
      </c>
      <c r="D7" s="114" t="e">
        <f>IF(ISBLANK($A8), "", VLOOKUP($A8, 入力シート!$A$7:$J$1000, 7, FALSE))</f>
        <v>#REF!</v>
      </c>
      <c r="E7" s="133" t="e">
        <f>IF(ISBLANK($A8), "", VLOOKUP($A8, 入力シート!$A$7:$J$1000, 8, FALSE))</f>
        <v>#REF!</v>
      </c>
      <c r="F7" s="115" t="e">
        <f>IF(ISBLANK($A8), "", VLOOKUP($A8, 入力シート!$A$7:$J$1000, 9, FALSE))</f>
        <v>#REF!</v>
      </c>
      <c r="G7" s="134"/>
    </row>
    <row r="8" spans="1:8" ht="24.95" customHeight="1" x14ac:dyDescent="0.15">
      <c r="A8" s="106">
        <v>4</v>
      </c>
      <c r="B8" s="114" t="e">
        <f>IF(ISBLANK($A9), "", VLOOKUP($A9, 入力シート!$A$7:$J$1000, 4, FALSE))</f>
        <v>#REF!</v>
      </c>
      <c r="C8" s="114" t="e">
        <f>IF(ISBLANK($A9), "", VLOOKUP($A9, 入力シート!$A$7:$J$1000, 6, FALSE))</f>
        <v>#REF!</v>
      </c>
      <c r="D8" s="114" t="e">
        <f>IF(ISBLANK($A9), "", VLOOKUP($A9, 入力シート!$A$7:$J$1000, 7, FALSE))</f>
        <v>#REF!</v>
      </c>
      <c r="E8" s="133" t="e">
        <f>IF(ISBLANK($A9), "", VLOOKUP($A9, 入力シート!$A$7:$J$1000, 8, FALSE))</f>
        <v>#REF!</v>
      </c>
      <c r="F8" s="115" t="e">
        <f>IF(ISBLANK($A9), "", VLOOKUP($A9, 入力シート!$A$7:$J$1000, 9, FALSE))</f>
        <v>#REF!</v>
      </c>
      <c r="G8" s="134"/>
    </row>
    <row r="9" spans="1:8" ht="24.95" customHeight="1" x14ac:dyDescent="0.15">
      <c r="A9" s="106">
        <v>5</v>
      </c>
      <c r="B9" s="114" t="e">
        <f>IF(ISBLANK($A10), "", VLOOKUP($A10, 入力シート!$A$7:$J$1000, 4, FALSE))</f>
        <v>#REF!</v>
      </c>
      <c r="C9" s="114" t="e">
        <f>IF(ISBLANK($A10), "", VLOOKUP($A10, 入力シート!$A$7:$J$1000, 6, FALSE))</f>
        <v>#REF!</v>
      </c>
      <c r="D9" s="114" t="e">
        <f>IF(ISBLANK($A10), "", VLOOKUP($A10, 入力シート!$A$7:$J$1000, 7, FALSE))</f>
        <v>#REF!</v>
      </c>
      <c r="E9" s="133" t="e">
        <f>IF(ISBLANK($A10), "", VLOOKUP($A10, 入力シート!$A$7:$J$1000, 8, FALSE))</f>
        <v>#REF!</v>
      </c>
      <c r="F9" s="115" t="e">
        <f>IF(ISBLANK($A10), "", VLOOKUP($A10, 入力シート!$A$7:$J$1000, 9, FALSE))</f>
        <v>#REF!</v>
      </c>
      <c r="G9" s="134"/>
    </row>
    <row r="10" spans="1:8" ht="24.95" customHeight="1" x14ac:dyDescent="0.15">
      <c r="A10" s="106">
        <v>6</v>
      </c>
      <c r="B10" s="114">
        <f>IF(ISBLANK($A11), "", VLOOKUP($A11, 入力シート!$A$7:$J$1000, 4, FALSE))</f>
        <v>0</v>
      </c>
      <c r="C10" s="114">
        <f>IF(ISBLANK($A11), "", VLOOKUP($A11, 入力シート!$A$7:$J$1000, 6, FALSE))</f>
        <v>0</v>
      </c>
      <c r="D10" s="114">
        <f>IF(ISBLANK($A11), "", VLOOKUP($A11, 入力シート!$A$7:$J$1000, 7, FALSE))</f>
        <v>0</v>
      </c>
      <c r="E10" s="133">
        <f>IF(ISBLANK($A11), "", VLOOKUP($A11, 入力シート!$A$7:$J$1000, 8, FALSE))</f>
        <v>0</v>
      </c>
      <c r="F10" s="115">
        <f>IF(ISBLANK($A11), "", VLOOKUP($A11, 入力シート!$A$7:$J$1000, 9, FALSE))</f>
        <v>0</v>
      </c>
      <c r="G10" s="134"/>
    </row>
    <row r="11" spans="1:8" ht="24.95" customHeight="1" x14ac:dyDescent="0.15">
      <c r="A11" s="106">
        <v>7</v>
      </c>
      <c r="B11" s="114">
        <f>IF(ISBLANK($A12), "", VLOOKUP($A12, 入力シート!$A$7:$J$1000, 4, FALSE))</f>
        <v>0</v>
      </c>
      <c r="C11" s="114">
        <f>IF(ISBLANK($A12), "", VLOOKUP($A12, 入力シート!$A$7:$J$1000, 6, FALSE))</f>
        <v>0</v>
      </c>
      <c r="D11" s="114">
        <f>IF(ISBLANK($A12), "", VLOOKUP($A12, 入力シート!$A$7:$J$1000, 7, FALSE))</f>
        <v>0</v>
      </c>
      <c r="E11" s="133">
        <f>IF(ISBLANK($A12), "", VLOOKUP($A12, 入力シート!$A$7:$J$1000, 8, FALSE))</f>
        <v>0</v>
      </c>
      <c r="F11" s="115">
        <f>IF(ISBLANK($A12), "", VLOOKUP($A12, 入力シート!$A$7:$J$1000, 9, FALSE))</f>
        <v>0</v>
      </c>
      <c r="G11" s="134"/>
    </row>
    <row r="12" spans="1:8" ht="24.95" customHeight="1" x14ac:dyDescent="0.15">
      <c r="A12" s="106">
        <v>8</v>
      </c>
      <c r="B12" s="114">
        <f>IF(ISBLANK($A13), "", VLOOKUP($A13, 入力シート!$A$7:$J$1000, 4, FALSE))</f>
        <v>0</v>
      </c>
      <c r="C12" s="114">
        <f>IF(ISBLANK($A13), "", VLOOKUP($A13, 入力シート!$A$7:$J$1000, 6, FALSE))</f>
        <v>0</v>
      </c>
      <c r="D12" s="114">
        <f>IF(ISBLANK($A13), "", VLOOKUP($A13, 入力シート!$A$7:$J$1000, 7, FALSE))</f>
        <v>0</v>
      </c>
      <c r="E12" s="133">
        <f>IF(ISBLANK($A13), "", VLOOKUP($A13, 入力シート!$A$7:$J$1000, 8, FALSE))</f>
        <v>0</v>
      </c>
      <c r="F12" s="115">
        <f>IF(ISBLANK($A13), "", VLOOKUP($A13, 入力シート!$A$7:$J$1000, 9, FALSE))</f>
        <v>0</v>
      </c>
      <c r="G12" s="134"/>
    </row>
    <row r="13" spans="1:8" ht="24.95" customHeight="1" x14ac:dyDescent="0.15">
      <c r="A13" s="106">
        <v>9</v>
      </c>
      <c r="B13" s="114">
        <f>IF(ISBLANK($A14), "", VLOOKUP($A14, 入力シート!$A$7:$J$1000, 4, FALSE))</f>
        <v>0</v>
      </c>
      <c r="C13" s="114">
        <f>IF(ISBLANK($A14), "", VLOOKUP($A14, 入力シート!$A$7:$J$1000, 6, FALSE))</f>
        <v>0</v>
      </c>
      <c r="D13" s="114">
        <f>IF(ISBLANK($A14), "", VLOOKUP($A14, 入力シート!$A$7:$J$1000, 7, FALSE))</f>
        <v>0</v>
      </c>
      <c r="E13" s="133">
        <f>IF(ISBLANK($A14), "", VLOOKUP($A14, 入力シート!$A$7:$J$1000, 8, FALSE))</f>
        <v>0</v>
      </c>
      <c r="F13" s="115">
        <f>IF(ISBLANK($A14), "", VLOOKUP($A14, 入力シート!$A$7:$J$1000, 9, FALSE))</f>
        <v>0</v>
      </c>
      <c r="G13" s="134"/>
    </row>
    <row r="14" spans="1:8" ht="24.95" customHeight="1" x14ac:dyDescent="0.15">
      <c r="A14" s="106">
        <v>10</v>
      </c>
      <c r="B14" s="114">
        <f>IF(ISBLANK($A15), "", VLOOKUP($A15, 入力シート!$A$7:$J$1000, 4, FALSE))</f>
        <v>0</v>
      </c>
      <c r="C14" s="114">
        <f>IF(ISBLANK($A15), "", VLOOKUP($A15, 入力シート!$A$7:$J$1000, 6, FALSE))</f>
        <v>0</v>
      </c>
      <c r="D14" s="114">
        <f>IF(ISBLANK($A15), "", VLOOKUP($A15, 入力シート!$A$7:$J$1000, 7, FALSE))</f>
        <v>0</v>
      </c>
      <c r="E14" s="133">
        <f>IF(ISBLANK($A15), "", VLOOKUP($A15, 入力シート!$A$7:$J$1000, 8, FALSE))</f>
        <v>0</v>
      </c>
      <c r="F14" s="115">
        <f>IF(ISBLANK($A15), "", VLOOKUP($A15, 入力シート!$A$7:$J$1000, 9, FALSE))</f>
        <v>0</v>
      </c>
      <c r="G14" s="134"/>
    </row>
    <row r="15" spans="1:8" ht="24.95" customHeight="1" x14ac:dyDescent="0.15">
      <c r="A15" s="106">
        <v>11</v>
      </c>
      <c r="B15" s="114">
        <f>IF(ISBLANK($A16), "", VLOOKUP($A16, 入力シート!$A$7:$J$1000, 4, FALSE))</f>
        <v>0</v>
      </c>
      <c r="C15" s="114">
        <f>IF(ISBLANK($A16), "", VLOOKUP($A16, 入力シート!$A$7:$J$1000, 6, FALSE))</f>
        <v>0</v>
      </c>
      <c r="D15" s="114">
        <f>IF(ISBLANK($A16), "", VLOOKUP($A16, 入力シート!$A$7:$J$1000, 7, FALSE))</f>
        <v>0</v>
      </c>
      <c r="E15" s="133">
        <f>IF(ISBLANK($A16), "", VLOOKUP($A16, 入力シート!$A$7:$J$1000, 8, FALSE))</f>
        <v>0</v>
      </c>
      <c r="F15" s="115">
        <f>IF(ISBLANK($A16), "", VLOOKUP($A16, 入力シート!$A$7:$J$1000, 9, FALSE))</f>
        <v>0</v>
      </c>
      <c r="G15" s="134"/>
    </row>
    <row r="16" spans="1:8" ht="24.95" customHeight="1" x14ac:dyDescent="0.15">
      <c r="A16" s="106">
        <v>12</v>
      </c>
      <c r="B16" s="114">
        <f>IF(ISBLANK($A17), "", VLOOKUP($A17, 入力シート!$A$7:$J$1000, 4, FALSE))</f>
        <v>0</v>
      </c>
      <c r="C16" s="114">
        <f>IF(ISBLANK($A17), "", VLOOKUP($A17, 入力シート!$A$7:$J$1000, 6, FALSE))</f>
        <v>0</v>
      </c>
      <c r="D16" s="114">
        <f>IF(ISBLANK($A17), "", VLOOKUP($A17, 入力シート!$A$7:$J$1000, 7, FALSE))</f>
        <v>0</v>
      </c>
      <c r="E16" s="133">
        <f>IF(ISBLANK($A17), "", VLOOKUP($A17, 入力シート!$A$7:$J$1000, 8, FALSE))</f>
        <v>0</v>
      </c>
      <c r="F16" s="115">
        <f>IF(ISBLANK($A17), "", VLOOKUP($A17, 入力シート!$A$7:$J$1000, 9, FALSE))</f>
        <v>0</v>
      </c>
      <c r="G16" s="134"/>
    </row>
    <row r="17" spans="1:11" ht="24.95" customHeight="1" x14ac:dyDescent="0.15">
      <c r="A17" s="106">
        <v>13</v>
      </c>
      <c r="B17" s="114">
        <f>IF(ISBLANK($A18), "", VLOOKUP($A18, 入力シート!$A$7:$J$1000, 4, FALSE))</f>
        <v>0</v>
      </c>
      <c r="C17" s="114">
        <f>IF(ISBLANK($A18), "", VLOOKUP($A18, 入力シート!$A$7:$J$1000, 6, FALSE))</f>
        <v>0</v>
      </c>
      <c r="D17" s="114">
        <f>IF(ISBLANK($A18), "", VLOOKUP($A18, 入力シート!$A$7:$J$1000, 7, FALSE))</f>
        <v>0</v>
      </c>
      <c r="E17" s="133">
        <f>IF(ISBLANK($A18), "", VLOOKUP($A18, 入力シート!$A$7:$J$1000, 8, FALSE))</f>
        <v>0</v>
      </c>
      <c r="F17" s="115">
        <f>IF(ISBLANK($A18), "", VLOOKUP($A18, 入力シート!$A$7:$J$1000, 9, FALSE))</f>
        <v>0</v>
      </c>
      <c r="G17" s="134"/>
    </row>
    <row r="18" spans="1:11" ht="24.95" customHeight="1" x14ac:dyDescent="0.15">
      <c r="A18" s="106">
        <v>14</v>
      </c>
      <c r="B18" s="114">
        <f>IF(ISBLANK($A19), "", VLOOKUP($A19, 入力シート!$A$7:$J$1000, 4, FALSE))</f>
        <v>0</v>
      </c>
      <c r="C18" s="114">
        <f>IF(ISBLANK($A19), "", VLOOKUP($A19, 入力シート!$A$7:$J$1000, 6, FALSE))</f>
        <v>0</v>
      </c>
      <c r="D18" s="114">
        <f>IF(ISBLANK($A19), "", VLOOKUP($A19, 入力シート!$A$7:$J$1000, 7, FALSE))</f>
        <v>0</v>
      </c>
      <c r="E18" s="133">
        <f>IF(ISBLANK($A19), "", VLOOKUP($A19, 入力シート!$A$7:$J$1000, 8, FALSE))</f>
        <v>0</v>
      </c>
      <c r="F18" s="115">
        <f>IF(ISBLANK($A19), "", VLOOKUP($A19, 入力シート!$A$7:$J$1000, 9, FALSE))</f>
        <v>0</v>
      </c>
      <c r="G18" s="134"/>
    </row>
    <row r="19" spans="1:11" ht="24.95" customHeight="1" x14ac:dyDescent="0.15">
      <c r="A19" s="106">
        <v>15</v>
      </c>
      <c r="B19" s="114">
        <f>IF(ISBLANK($A20), "", VLOOKUP($A20, 入力シート!$A$7:$J$1000, 4, FALSE))</f>
        <v>0</v>
      </c>
      <c r="C19" s="114">
        <f>IF(ISBLANK($A20), "", VLOOKUP($A20, 入力シート!$A$7:$J$1000, 6, FALSE))</f>
        <v>0</v>
      </c>
      <c r="D19" s="114">
        <f>IF(ISBLANK($A20), "", VLOOKUP($A20, 入力シート!$A$7:$J$1000, 7, FALSE))</f>
        <v>0</v>
      </c>
      <c r="E19" s="133">
        <f>IF(ISBLANK($A20), "", VLOOKUP($A20, 入力シート!$A$7:$J$1000, 8, FALSE))</f>
        <v>0</v>
      </c>
      <c r="F19" s="115">
        <f>IF(ISBLANK($A20), "", VLOOKUP($A20, 入力シート!$A$7:$J$1000, 9, FALSE))</f>
        <v>0</v>
      </c>
      <c r="G19" s="134"/>
    </row>
    <row r="20" spans="1:11" ht="24.95" customHeight="1" x14ac:dyDescent="0.15">
      <c r="A20" s="106">
        <v>16</v>
      </c>
      <c r="B20" s="114" t="str">
        <f>IF(ISBLANK($A21), "", VLOOKUP($A21, 入力シート!$A$7:$J$1000, 4, FALSE))</f>
        <v/>
      </c>
      <c r="C20" s="114" t="str">
        <f>IF(ISBLANK($A21), "", VLOOKUP($A21, 入力シート!$A$7:$J$1000, 6, FALSE))</f>
        <v/>
      </c>
      <c r="D20" s="114" t="str">
        <f>IF(ISBLANK($A21), "", VLOOKUP($A21, 入力シート!$A$7:$J$1000, 7, FALSE))</f>
        <v/>
      </c>
      <c r="E20" s="133" t="str">
        <f>IF(ISBLANK($A21), "", VLOOKUP($A21, 入力シート!$A$7:$J$1000, 8, FALSE))</f>
        <v/>
      </c>
      <c r="F20" s="115" t="str">
        <f>IF(ISBLANK($A21), "", VLOOKUP($A21, 入力シート!$A$7:$J$1000, 9, FALSE))</f>
        <v/>
      </c>
      <c r="G20" s="134"/>
    </row>
    <row r="23" spans="1:11" x14ac:dyDescent="0.15">
      <c r="J23" s="182" t="s">
        <v>166</v>
      </c>
      <c r="K23" s="182"/>
    </row>
    <row r="24" spans="1:11" x14ac:dyDescent="0.15">
      <c r="J24" s="182" t="s">
        <v>167</v>
      </c>
      <c r="K24" s="182"/>
    </row>
    <row r="25" spans="1:11" s="108" customFormat="1" x14ac:dyDescent="0.15">
      <c r="A25" s="106"/>
      <c r="C25" s="106"/>
      <c r="D25" s="106"/>
      <c r="E25" s="106"/>
      <c r="F25" s="106"/>
      <c r="G25" s="106"/>
      <c r="J25" s="182" t="s">
        <v>168</v>
      </c>
      <c r="K25" s="182"/>
    </row>
    <row r="26" spans="1:11" s="108" customFormat="1" x14ac:dyDescent="0.15">
      <c r="A26" s="106"/>
      <c r="C26" s="106"/>
      <c r="D26" s="106"/>
      <c r="E26" s="106"/>
      <c r="F26" s="106"/>
      <c r="G26" s="106"/>
      <c r="J26" s="182" t="s">
        <v>169</v>
      </c>
      <c r="K26" s="182"/>
    </row>
    <row r="27" spans="1:11" s="108" customFormat="1" x14ac:dyDescent="0.15">
      <c r="A27" s="106"/>
      <c r="C27" s="106"/>
      <c r="D27" s="106"/>
      <c r="E27" s="106"/>
      <c r="F27" s="106"/>
      <c r="G27" s="106"/>
      <c r="J27" s="182" t="s">
        <v>170</v>
      </c>
      <c r="K27" s="182"/>
    </row>
    <row r="28" spans="1:11" s="108" customFormat="1" x14ac:dyDescent="0.15">
      <c r="A28" s="106"/>
      <c r="C28" s="106"/>
      <c r="D28" s="106"/>
      <c r="E28" s="106"/>
      <c r="F28" s="106"/>
      <c r="G28" s="106"/>
      <c r="J28" s="182" t="s">
        <v>171</v>
      </c>
      <c r="K28" s="182"/>
    </row>
    <row r="29" spans="1:11" s="108" customFormat="1" x14ac:dyDescent="0.15">
      <c r="A29" s="106"/>
      <c r="C29" s="106"/>
      <c r="D29" s="106"/>
      <c r="E29" s="106"/>
      <c r="F29" s="106"/>
      <c r="G29" s="106"/>
      <c r="J29" s="182" t="s">
        <v>172</v>
      </c>
      <c r="K29" s="182"/>
    </row>
    <row r="30" spans="1:11" x14ac:dyDescent="0.15">
      <c r="J30" s="182" t="s">
        <v>173</v>
      </c>
      <c r="K30" s="182"/>
    </row>
    <row r="31" spans="1:11" x14ac:dyDescent="0.15">
      <c r="J31" s="182" t="s">
        <v>174</v>
      </c>
      <c r="K31" s="182"/>
    </row>
    <row r="32" spans="1:11" x14ac:dyDescent="0.15">
      <c r="J32" s="182" t="s">
        <v>175</v>
      </c>
      <c r="K32" s="182"/>
    </row>
    <row r="33" spans="10:11" x14ac:dyDescent="0.15">
      <c r="J33" s="182" t="s">
        <v>176</v>
      </c>
      <c r="K33" s="182"/>
    </row>
    <row r="34" spans="10:11" x14ac:dyDescent="0.15">
      <c r="J34" s="182" t="s">
        <v>177</v>
      </c>
      <c r="K34" s="182"/>
    </row>
    <row r="35" spans="10:11" x14ac:dyDescent="0.15">
      <c r="J35" s="182" t="s">
        <v>178</v>
      </c>
      <c r="K35" s="182"/>
    </row>
    <row r="36" spans="10:11" x14ac:dyDescent="0.15">
      <c r="J36" s="182" t="s">
        <v>179</v>
      </c>
      <c r="K36" s="182"/>
    </row>
    <row r="37" spans="10:11" x14ac:dyDescent="0.15">
      <c r="J37" s="182" t="s">
        <v>180</v>
      </c>
      <c r="K37" s="182"/>
    </row>
    <row r="38" spans="10:11" x14ac:dyDescent="0.15">
      <c r="J38" s="182" t="s">
        <v>181</v>
      </c>
      <c r="K38" s="182"/>
    </row>
    <row r="39" spans="10:11" x14ac:dyDescent="0.15">
      <c r="J39" s="182" t="s">
        <v>182</v>
      </c>
      <c r="K39" s="182"/>
    </row>
    <row r="40" spans="10:11" x14ac:dyDescent="0.15">
      <c r="J40" s="182" t="s">
        <v>183</v>
      </c>
      <c r="K40" s="182"/>
    </row>
    <row r="41" spans="10:11" x14ac:dyDescent="0.15">
      <c r="J41" s="182" t="s">
        <v>184</v>
      </c>
      <c r="K41" s="182"/>
    </row>
    <row r="42" spans="10:11" x14ac:dyDescent="0.15">
      <c r="J42" s="182" t="s">
        <v>185</v>
      </c>
      <c r="K42" s="182"/>
    </row>
    <row r="43" spans="10:11" x14ac:dyDescent="0.15">
      <c r="J43" s="182" t="s">
        <v>186</v>
      </c>
      <c r="K43" s="182"/>
    </row>
    <row r="44" spans="10:11" x14ac:dyDescent="0.15">
      <c r="J44" s="182" t="s">
        <v>187</v>
      </c>
      <c r="K44" s="182"/>
    </row>
    <row r="45" spans="10:11" x14ac:dyDescent="0.15">
      <c r="J45" s="182" t="s">
        <v>188</v>
      </c>
      <c r="K45" s="182"/>
    </row>
    <row r="46" spans="10:11" x14ac:dyDescent="0.15">
      <c r="J46" s="182" t="s">
        <v>189</v>
      </c>
      <c r="K46" s="182"/>
    </row>
    <row r="47" spans="10:11" x14ac:dyDescent="0.15">
      <c r="J47" s="182" t="s">
        <v>190</v>
      </c>
      <c r="K47" s="182"/>
    </row>
    <row r="48" spans="10:11" x14ac:dyDescent="0.15">
      <c r="J48" s="182" t="s">
        <v>191</v>
      </c>
      <c r="K48" s="182"/>
    </row>
    <row r="49" spans="10:11" x14ac:dyDescent="0.15">
      <c r="J49" s="182" t="s">
        <v>192</v>
      </c>
      <c r="K49" s="182"/>
    </row>
    <row r="50" spans="10:11" x14ac:dyDescent="0.15">
      <c r="J50" s="182" t="s">
        <v>193</v>
      </c>
      <c r="K50" s="182"/>
    </row>
    <row r="51" spans="10:11" x14ac:dyDescent="0.15">
      <c r="J51" s="182" t="s">
        <v>194</v>
      </c>
      <c r="K51" s="182"/>
    </row>
    <row r="52" spans="10:11" x14ac:dyDescent="0.15">
      <c r="J52" s="182" t="s">
        <v>195</v>
      </c>
      <c r="K52" s="182"/>
    </row>
    <row r="53" spans="10:11" x14ac:dyDescent="0.15">
      <c r="J53" s="182" t="s">
        <v>196</v>
      </c>
      <c r="K53" s="182"/>
    </row>
    <row r="54" spans="10:11" x14ac:dyDescent="0.15">
      <c r="J54" s="182" t="s">
        <v>197</v>
      </c>
      <c r="K54" s="182"/>
    </row>
    <row r="55" spans="10:11" x14ac:dyDescent="0.15">
      <c r="J55" s="182" t="s">
        <v>198</v>
      </c>
      <c r="K55" s="182"/>
    </row>
    <row r="56" spans="10:11" x14ac:dyDescent="0.15">
      <c r="J56" s="182" t="s">
        <v>199</v>
      </c>
      <c r="K56" s="182"/>
    </row>
    <row r="57" spans="10:11" x14ac:dyDescent="0.15">
      <c r="J57" s="182" t="s">
        <v>200</v>
      </c>
      <c r="K57" s="182"/>
    </row>
    <row r="58" spans="10:11" x14ac:dyDescent="0.15">
      <c r="J58" s="182" t="s">
        <v>201</v>
      </c>
      <c r="K58" s="182"/>
    </row>
    <row r="59" spans="10:11" x14ac:dyDescent="0.15">
      <c r="J59" s="182" t="s">
        <v>202</v>
      </c>
      <c r="K59" s="182"/>
    </row>
    <row r="60" spans="10:11" x14ac:dyDescent="0.15">
      <c r="J60" s="182" t="s">
        <v>203</v>
      </c>
      <c r="K60" s="182"/>
    </row>
  </sheetData>
  <mergeCells count="43">
    <mergeCell ref="J60:K60"/>
    <mergeCell ref="J54:K54"/>
    <mergeCell ref="J55:K55"/>
    <mergeCell ref="J56:K56"/>
    <mergeCell ref="J57:K57"/>
    <mergeCell ref="J58:K58"/>
    <mergeCell ref="J59:K59"/>
    <mergeCell ref="J53:K53"/>
    <mergeCell ref="J42:K42"/>
    <mergeCell ref="J43:K43"/>
    <mergeCell ref="J44:K44"/>
    <mergeCell ref="J45:K45"/>
    <mergeCell ref="J46:K46"/>
    <mergeCell ref="J47:K47"/>
    <mergeCell ref="J48:K48"/>
    <mergeCell ref="J49:K49"/>
    <mergeCell ref="J50:K50"/>
    <mergeCell ref="J51:K51"/>
    <mergeCell ref="J52:K52"/>
    <mergeCell ref="J41:K41"/>
    <mergeCell ref="J30:K30"/>
    <mergeCell ref="J31:K31"/>
    <mergeCell ref="J32:K32"/>
    <mergeCell ref="J33:K33"/>
    <mergeCell ref="J34:K34"/>
    <mergeCell ref="J35:K35"/>
    <mergeCell ref="J36:K36"/>
    <mergeCell ref="J37:K37"/>
    <mergeCell ref="J38:K38"/>
    <mergeCell ref="J39:K39"/>
    <mergeCell ref="J40:K40"/>
    <mergeCell ref="J29:K29"/>
    <mergeCell ref="B1:C1"/>
    <mergeCell ref="B2:B3"/>
    <mergeCell ref="C2:E3"/>
    <mergeCell ref="F2:G2"/>
    <mergeCell ref="F3:G3"/>
    <mergeCell ref="J23:K23"/>
    <mergeCell ref="J24:K24"/>
    <mergeCell ref="J25:K25"/>
    <mergeCell ref="J26:K26"/>
    <mergeCell ref="J27:K27"/>
    <mergeCell ref="J28:K28"/>
  </mergeCells>
  <phoneticPr fontId="2"/>
  <dataValidations count="1">
    <dataValidation type="list" allowBlank="1" showInputMessage="1" showErrorMessage="1" sqref="F3:G3" xr:uid="{41401A77-3E5A-4B18-9118-C51CFBA85B06}">
      <formula1>$J$23:$J$60</formula1>
    </dataValidation>
  </dataValidations>
  <printOptions horizontalCentered="1"/>
  <pageMargins left="0.59055118110236227" right="0.59055118110236227" top="0.98425196850393704" bottom="0.70866141732283472" header="0.51181102362204722" footer="0.51181102362204722"/>
  <pageSetup paperSize="9" orientation="landscape" horizontalDpi="4294967292" verticalDpi="120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A22"/>
  <sheetViews>
    <sheetView workbookViewId="0">
      <selection activeCell="M8" sqref="M8"/>
    </sheetView>
  </sheetViews>
  <sheetFormatPr defaultRowHeight="13.5" x14ac:dyDescent="0.15"/>
  <cols>
    <col min="1" max="1" width="3.25" style="1" customWidth="1"/>
    <col min="2" max="2" width="7.375" style="1" customWidth="1"/>
    <col min="3" max="3" width="10.375" style="1" customWidth="1"/>
    <col min="4" max="19" width="9" style="1"/>
    <col min="20" max="20" width="4.125" style="1" customWidth="1"/>
    <col min="21" max="16384" width="9" style="1"/>
  </cols>
  <sheetData>
    <row r="1" spans="1:27" ht="76.5" customHeight="1" x14ac:dyDescent="0.15">
      <c r="A1" s="190" t="s">
        <v>10</v>
      </c>
      <c r="B1" s="190"/>
      <c r="C1" s="190"/>
      <c r="D1" s="190"/>
      <c r="E1" s="190"/>
      <c r="F1" s="190"/>
      <c r="G1" s="190"/>
      <c r="H1" s="190"/>
      <c r="I1" s="190"/>
      <c r="J1" s="190"/>
      <c r="K1" s="4"/>
      <c r="L1" s="4"/>
      <c r="M1" s="4"/>
      <c r="N1" s="4"/>
      <c r="O1" s="4"/>
      <c r="P1" s="4"/>
      <c r="Q1" s="4"/>
      <c r="R1" s="4"/>
    </row>
    <row r="2" spans="1:27" ht="35.25" customHeight="1" x14ac:dyDescent="0.15">
      <c r="A2" s="2">
        <v>1</v>
      </c>
      <c r="B2" s="1" t="s">
        <v>70</v>
      </c>
    </row>
    <row r="3" spans="1:27" ht="20.25" customHeight="1" x14ac:dyDescent="0.15">
      <c r="U3" s="1" t="e">
        <f>入力シート!$C7&amp;入力シート!$D7</f>
        <v>#REF!</v>
      </c>
    </row>
    <row r="4" spans="1:27" ht="20.25" customHeight="1" x14ac:dyDescent="0.15">
      <c r="C4" s="1" t="s">
        <v>7</v>
      </c>
      <c r="D4" s="193" t="s">
        <v>121</v>
      </c>
      <c r="E4" s="193"/>
      <c r="F4" s="193"/>
      <c r="G4" s="193"/>
      <c r="H4" s="193"/>
      <c r="I4" s="193"/>
      <c r="U4" s="1" t="e">
        <f>入力シート!$C8&amp;入力シート!$D8</f>
        <v>#REF!</v>
      </c>
    </row>
    <row r="5" spans="1:27" ht="20.25" customHeight="1" x14ac:dyDescent="0.15">
      <c r="U5" s="1" t="e">
        <f>入力シート!$C9&amp;入力シート!$D9</f>
        <v>#REF!</v>
      </c>
    </row>
    <row r="6" spans="1:27" ht="20.25" customHeight="1" x14ac:dyDescent="0.15">
      <c r="C6" s="1" t="s">
        <v>8</v>
      </c>
      <c r="D6" s="193" t="s">
        <v>122</v>
      </c>
      <c r="E6" s="193"/>
      <c r="F6" s="193"/>
      <c r="G6" s="193"/>
      <c r="H6" s="193"/>
      <c r="I6" s="193"/>
      <c r="U6" s="1" t="e">
        <f>入力シート!$C10&amp;入力シート!$D10</f>
        <v>#REF!</v>
      </c>
    </row>
    <row r="7" spans="1:27" ht="27" customHeight="1" x14ac:dyDescent="0.15">
      <c r="U7" s="1" t="e">
        <f>入力シート!$C11&amp;入力シート!$D11</f>
        <v>#REF!</v>
      </c>
    </row>
    <row r="8" spans="1:27" ht="33.75" customHeight="1" x14ac:dyDescent="0.15">
      <c r="A8" s="2">
        <v>2</v>
      </c>
      <c r="B8" s="1" t="s">
        <v>71</v>
      </c>
      <c r="U8" s="1" t="e">
        <f>入力シート!$C12&amp;入力シート!$D12</f>
        <v>#REF!</v>
      </c>
    </row>
    <row r="9" spans="1:27" ht="42" customHeight="1" x14ac:dyDescent="0.15">
      <c r="A9" s="191" t="s">
        <v>9</v>
      </c>
      <c r="B9" s="191"/>
      <c r="C9" s="191"/>
      <c r="D9" s="191"/>
      <c r="E9" s="191"/>
      <c r="F9" s="191"/>
      <c r="G9" s="191"/>
      <c r="H9" s="191"/>
      <c r="I9" s="191"/>
      <c r="J9" s="191"/>
      <c r="K9" s="3"/>
      <c r="L9" s="3"/>
      <c r="M9" s="3"/>
      <c r="N9" s="3"/>
      <c r="O9" s="3"/>
      <c r="P9" s="3"/>
      <c r="U9" s="1" t="str">
        <f>入力シート!$C13&amp;入力シート!$D13</f>
        <v/>
      </c>
      <c r="Z9" s="3"/>
      <c r="AA9" s="3"/>
    </row>
    <row r="10" spans="1:27" ht="21.75" customHeight="1" x14ac:dyDescent="0.15">
      <c r="U10" s="1" t="str">
        <f>入力シート!$C14&amp;入力シート!$D14</f>
        <v/>
      </c>
    </row>
    <row r="11" spans="1:27" ht="33" customHeight="1" x14ac:dyDescent="0.15">
      <c r="A11" s="192" t="s">
        <v>73</v>
      </c>
      <c r="B11" s="192"/>
      <c r="C11" s="192"/>
      <c r="D11" s="192"/>
      <c r="E11" s="192"/>
      <c r="F11" s="192"/>
      <c r="G11" s="192"/>
      <c r="H11" s="192"/>
      <c r="I11" s="192"/>
      <c r="J11" s="192"/>
      <c r="K11" s="5"/>
      <c r="L11" s="5"/>
      <c r="M11" s="5"/>
      <c r="N11" s="5"/>
      <c r="O11" s="5"/>
      <c r="P11" s="5"/>
      <c r="U11" s="1" t="str">
        <f>入力シート!$C15&amp;入力シート!$D15</f>
        <v/>
      </c>
      <c r="Z11" s="5"/>
      <c r="AA11" s="5"/>
    </row>
    <row r="12" spans="1:27" ht="38.25" customHeight="1" x14ac:dyDescent="0.15">
      <c r="A12" s="189" t="s">
        <v>79</v>
      </c>
      <c r="B12" s="189"/>
      <c r="C12" s="189"/>
      <c r="D12" s="189"/>
      <c r="E12" s="189"/>
      <c r="F12" s="189"/>
      <c r="G12" s="189"/>
      <c r="H12" s="189"/>
      <c r="I12" s="189"/>
      <c r="J12" s="189"/>
      <c r="U12" s="1" t="str">
        <f>入力シート!$C16&amp;入力シート!$D16</f>
        <v/>
      </c>
    </row>
    <row r="13" spans="1:27" ht="42" customHeight="1" x14ac:dyDescent="0.15">
      <c r="U13" s="1" t="str">
        <f>入力シート!$C17&amp;入力シート!$D17</f>
        <v/>
      </c>
    </row>
    <row r="14" spans="1:27" ht="39" customHeight="1" x14ac:dyDescent="0.15">
      <c r="B14" s="1" t="s">
        <v>95</v>
      </c>
      <c r="U14" s="1" t="str">
        <f>入力シート!$C18&amp;入力シート!$D18</f>
        <v/>
      </c>
    </row>
    <row r="15" spans="1:27" ht="27.75" customHeight="1" x14ac:dyDescent="0.15">
      <c r="U15" s="1" t="str">
        <f>入力シート!$C19&amp;入力シート!$D19</f>
        <v/>
      </c>
    </row>
    <row r="16" spans="1:27" ht="35.25" customHeight="1" x14ac:dyDescent="0.15">
      <c r="B16" s="3" t="s">
        <v>11</v>
      </c>
      <c r="C16" s="3" t="s">
        <v>13</v>
      </c>
      <c r="D16" s="188" t="e">
        <f>VLOOKUP(D4,入力シート!E11:I21,4,FALSE)</f>
        <v>#N/A</v>
      </c>
      <c r="E16" s="188"/>
      <c r="F16" s="188"/>
      <c r="G16" s="188"/>
      <c r="H16" s="188"/>
      <c r="U16" s="1" t="str">
        <f>入力シート!$C20&amp;入力シート!$D20</f>
        <v/>
      </c>
    </row>
    <row r="17" spans="2:21" ht="35.25" customHeight="1" x14ac:dyDescent="0.15">
      <c r="B17" s="3"/>
      <c r="C17" s="3"/>
      <c r="D17" s="99"/>
      <c r="E17" s="27"/>
      <c r="F17" s="27"/>
      <c r="G17" s="27"/>
      <c r="H17" s="27"/>
      <c r="U17" s="1" t="str">
        <f>入力シート!$C21&amp;入力シート!$D21</f>
        <v/>
      </c>
    </row>
    <row r="18" spans="2:21" ht="35.25" customHeight="1" x14ac:dyDescent="0.15">
      <c r="B18" s="3"/>
      <c r="C18" s="3" t="s">
        <v>14</v>
      </c>
      <c r="D18" s="188" t="e">
        <f>VLOOKUP(D4,入力シート!E11:I21,5,FALSE)</f>
        <v>#N/A</v>
      </c>
      <c r="E18" s="188"/>
      <c r="F18" s="188"/>
      <c r="G18" s="188"/>
      <c r="H18" s="188"/>
      <c r="I18" s="3" t="s">
        <v>0</v>
      </c>
    </row>
    <row r="19" spans="2:21" ht="42" customHeight="1" x14ac:dyDescent="0.15">
      <c r="B19" s="3"/>
      <c r="C19" s="3"/>
      <c r="D19" s="27"/>
      <c r="E19" s="27"/>
      <c r="F19" s="27"/>
      <c r="G19" s="27"/>
      <c r="H19" s="27"/>
      <c r="I19" s="3"/>
    </row>
    <row r="20" spans="2:21" ht="35.25" customHeight="1" x14ac:dyDescent="0.15">
      <c r="B20" s="3" t="s">
        <v>12</v>
      </c>
      <c r="C20" s="3" t="s">
        <v>13</v>
      </c>
      <c r="D20" s="188" t="e">
        <f>入力シート!H7</f>
        <v>#REF!</v>
      </c>
      <c r="E20" s="188"/>
      <c r="F20" s="188"/>
      <c r="G20" s="188"/>
      <c r="H20" s="188"/>
      <c r="I20" s="3"/>
    </row>
    <row r="21" spans="2:21" ht="35.25" customHeight="1" x14ac:dyDescent="0.15">
      <c r="C21" s="3"/>
      <c r="D21" s="27"/>
      <c r="E21" s="27"/>
      <c r="F21" s="27"/>
      <c r="G21" s="27"/>
      <c r="H21" s="27"/>
      <c r="I21" s="3"/>
    </row>
    <row r="22" spans="2:21" ht="35.25" customHeight="1" x14ac:dyDescent="0.15">
      <c r="C22" s="3" t="s">
        <v>14</v>
      </c>
      <c r="D22" s="188" t="e">
        <f>入力シート!I7</f>
        <v>#REF!</v>
      </c>
      <c r="E22" s="188"/>
      <c r="F22" s="188"/>
      <c r="G22" s="188"/>
      <c r="H22" s="188"/>
      <c r="I22" s="3" t="s">
        <v>0</v>
      </c>
    </row>
  </sheetData>
  <mergeCells count="10">
    <mergeCell ref="D20:H20"/>
    <mergeCell ref="D22:H22"/>
    <mergeCell ref="A12:J12"/>
    <mergeCell ref="A1:J1"/>
    <mergeCell ref="A9:J9"/>
    <mergeCell ref="A11:J11"/>
    <mergeCell ref="D16:H16"/>
    <mergeCell ref="D6:I6"/>
    <mergeCell ref="D18:H18"/>
    <mergeCell ref="D4:I4"/>
  </mergeCells>
  <phoneticPr fontId="2"/>
  <dataValidations count="1">
    <dataValidation type="list" allowBlank="1" showInputMessage="1" sqref="D6:I6 D4:I4" xr:uid="{7DA6EBE0-A725-49CE-A6B7-167E904FDEC9}">
      <formula1>$U$3:$U$17</formula1>
    </dataValidation>
  </dataValidations>
  <pageMargins left="1.1811023622047245" right="0.78740157480314965" top="0.98425196850393704" bottom="0.98425196850393704" header="0.51181102362204722" footer="0.51181102362204722"/>
  <pageSetup paperSize="8" orientation="landscape" verticalDpi="12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6"/>
  <sheetViews>
    <sheetView workbookViewId="0">
      <selection activeCell="D4" sqref="D4:I4"/>
    </sheetView>
  </sheetViews>
  <sheetFormatPr defaultRowHeight="13.5" x14ac:dyDescent="0.15"/>
  <cols>
    <col min="1" max="1" width="3.25" style="1" customWidth="1"/>
    <col min="2" max="2" width="7.375" style="1" customWidth="1"/>
    <col min="3" max="3" width="10.375" style="1" customWidth="1"/>
    <col min="4" max="16384" width="9" style="1"/>
  </cols>
  <sheetData>
    <row r="1" spans="1:21" ht="76.5" customHeight="1" x14ac:dyDescent="0.15">
      <c r="A1" s="190" t="s">
        <v>10</v>
      </c>
      <c r="B1" s="190"/>
      <c r="C1" s="190"/>
      <c r="D1" s="190"/>
      <c r="E1" s="190"/>
      <c r="F1" s="190"/>
      <c r="G1" s="190"/>
      <c r="H1" s="190"/>
      <c r="I1" s="190"/>
      <c r="J1" s="190"/>
      <c r="K1" s="4"/>
      <c r="L1" s="4"/>
      <c r="M1" s="4"/>
      <c r="N1" s="4"/>
      <c r="O1" s="4"/>
      <c r="P1" s="4"/>
      <c r="Q1" s="4"/>
      <c r="R1" s="4"/>
      <c r="S1" s="4"/>
    </row>
    <row r="2" spans="1:21" ht="35.25" customHeight="1" x14ac:dyDescent="0.15">
      <c r="A2" s="2">
        <v>1</v>
      </c>
      <c r="B2" s="1" t="s">
        <v>70</v>
      </c>
    </row>
    <row r="3" spans="1:21" ht="20.25" customHeight="1" x14ac:dyDescent="0.15">
      <c r="U3" s="1" t="e">
        <f>入力シート!$C7&amp;入力シート!$D7</f>
        <v>#REF!</v>
      </c>
    </row>
    <row r="4" spans="1:21" ht="20.25" customHeight="1" x14ac:dyDescent="0.15">
      <c r="C4" s="1" t="s">
        <v>7</v>
      </c>
      <c r="D4" s="193" t="s">
        <v>117</v>
      </c>
      <c r="E4" s="193"/>
      <c r="F4" s="193"/>
      <c r="G4" s="193"/>
      <c r="H4" s="193"/>
      <c r="I4" s="193"/>
      <c r="J4" s="7"/>
      <c r="K4" s="7"/>
      <c r="L4" s="7"/>
      <c r="M4" s="7"/>
      <c r="N4" s="7"/>
      <c r="O4" s="7"/>
      <c r="P4" s="7"/>
      <c r="R4" s="7"/>
      <c r="U4" s="1" t="e">
        <f>入力シート!$C8&amp;入力シート!$D8</f>
        <v>#REF!</v>
      </c>
    </row>
    <row r="5" spans="1:21" ht="20.25" customHeight="1" x14ac:dyDescent="0.15">
      <c r="U5" s="1" t="e">
        <f>入力シート!$C9&amp;入力シート!$D9</f>
        <v>#REF!</v>
      </c>
    </row>
    <row r="6" spans="1:21" ht="20.25" customHeight="1" x14ac:dyDescent="0.15">
      <c r="C6" s="1" t="s">
        <v>8</v>
      </c>
      <c r="D6" s="193" t="s">
        <v>117</v>
      </c>
      <c r="E6" s="193"/>
      <c r="F6" s="193"/>
      <c r="G6" s="193"/>
      <c r="H6" s="193"/>
      <c r="I6" s="193"/>
      <c r="U6" s="1" t="e">
        <f>入力シート!$C10&amp;入力シート!$D10</f>
        <v>#REF!</v>
      </c>
    </row>
    <row r="7" spans="1:21" ht="27" customHeight="1" x14ac:dyDescent="0.15">
      <c r="U7" s="1" t="e">
        <f>入力シート!$C11&amp;入力シート!$D11</f>
        <v>#REF!</v>
      </c>
    </row>
    <row r="8" spans="1:21" ht="33.75" customHeight="1" x14ac:dyDescent="0.15">
      <c r="A8" s="2">
        <v>2</v>
      </c>
      <c r="B8" s="1" t="s">
        <v>71</v>
      </c>
      <c r="U8" s="1" t="e">
        <f>入力シート!$C12&amp;入力シート!$D12</f>
        <v>#REF!</v>
      </c>
    </row>
    <row r="9" spans="1:21" ht="24" customHeight="1" x14ac:dyDescent="0.15">
      <c r="A9" s="191" t="s">
        <v>9</v>
      </c>
      <c r="B9" s="191"/>
      <c r="C9" s="191"/>
      <c r="D9" s="191"/>
      <c r="E9" s="191"/>
      <c r="F9" s="191"/>
      <c r="G9" s="191"/>
      <c r="H9" s="191"/>
      <c r="I9" s="191"/>
      <c r="J9" s="3"/>
      <c r="K9" s="3"/>
      <c r="L9" s="3"/>
      <c r="M9" s="3"/>
      <c r="N9" s="3"/>
      <c r="O9" s="3"/>
      <c r="P9" s="3"/>
      <c r="Q9" s="3"/>
      <c r="R9" s="3"/>
      <c r="S9" s="3"/>
      <c r="U9" s="1" t="str">
        <f>入力シート!$C13&amp;入力シート!$D13</f>
        <v/>
      </c>
    </row>
    <row r="10" spans="1:21" ht="30.75" customHeight="1" x14ac:dyDescent="0.15">
      <c r="U10" s="1" t="str">
        <f>入力シート!$C14&amp;入力シート!$D14</f>
        <v/>
      </c>
    </row>
    <row r="11" spans="1:21" ht="33" customHeight="1" x14ac:dyDescent="0.15">
      <c r="A11" s="189" t="s">
        <v>73</v>
      </c>
      <c r="B11" s="189"/>
      <c r="C11" s="189"/>
      <c r="D11" s="189"/>
      <c r="E11" s="189"/>
      <c r="F11" s="189"/>
      <c r="G11" s="189"/>
      <c r="H11" s="189"/>
      <c r="I11" s="189"/>
      <c r="J11" s="189"/>
      <c r="K11" s="5"/>
      <c r="L11" s="5"/>
      <c r="M11" s="5"/>
      <c r="N11" s="5"/>
      <c r="O11" s="5"/>
      <c r="P11" s="5"/>
      <c r="Q11" s="5"/>
      <c r="R11" s="5"/>
      <c r="S11" s="5"/>
      <c r="U11" s="1" t="str">
        <f>入力シート!$C15&amp;入力シート!$D15</f>
        <v/>
      </c>
    </row>
    <row r="12" spans="1:21" ht="33" customHeight="1" x14ac:dyDescent="0.15">
      <c r="A12" s="189" t="s">
        <v>79</v>
      </c>
      <c r="B12" s="189"/>
      <c r="C12" s="189"/>
      <c r="D12" s="189"/>
      <c r="E12" s="189"/>
      <c r="F12" s="189"/>
      <c r="G12" s="189"/>
      <c r="H12" s="189"/>
      <c r="I12" s="189"/>
      <c r="J12" s="189"/>
      <c r="U12" s="1" t="str">
        <f>入力シート!$C16&amp;入力シート!$D16</f>
        <v/>
      </c>
    </row>
    <row r="13" spans="1:21" ht="17.25" customHeight="1" x14ac:dyDescent="0.15">
      <c r="A13" s="194"/>
      <c r="B13" s="194"/>
      <c r="C13" s="194"/>
      <c r="D13" s="194"/>
      <c r="E13" s="194"/>
      <c r="F13" s="194"/>
      <c r="G13" s="194"/>
      <c r="H13" s="194"/>
      <c r="I13" s="194"/>
      <c r="J13" s="194"/>
      <c r="U13" s="1" t="str">
        <f>入力シート!$C17&amp;入力シート!$D17</f>
        <v/>
      </c>
    </row>
    <row r="14" spans="1:21" ht="27.75" customHeight="1" x14ac:dyDescent="0.15">
      <c r="B14" s="1" t="s">
        <v>95</v>
      </c>
      <c r="U14" s="1" t="str">
        <f>入力シート!$C18&amp;入力シート!$D18</f>
        <v/>
      </c>
    </row>
    <row r="15" spans="1:21" ht="27.75" customHeight="1" x14ac:dyDescent="0.15">
      <c r="U15" s="1" t="str">
        <f>入力シート!$C19&amp;入力シート!$D19</f>
        <v/>
      </c>
    </row>
    <row r="16" spans="1:21" ht="27.75" customHeight="1" x14ac:dyDescent="0.15">
      <c r="B16" s="3" t="s">
        <v>11</v>
      </c>
      <c r="C16" s="3" t="s">
        <v>13</v>
      </c>
      <c r="D16" s="188"/>
      <c r="E16" s="188"/>
      <c r="F16" s="188"/>
      <c r="G16" s="188"/>
      <c r="H16" s="188"/>
      <c r="U16" s="1" t="str">
        <f>入力シート!$C20&amp;入力シート!$D20</f>
        <v/>
      </c>
    </row>
    <row r="17" spans="2:21" ht="19.5" customHeight="1" x14ac:dyDescent="0.15">
      <c r="B17" s="3"/>
      <c r="C17" s="3"/>
      <c r="D17" s="27"/>
      <c r="E17" s="27"/>
      <c r="F17" s="27"/>
      <c r="G17" s="27"/>
      <c r="H17" s="27"/>
      <c r="U17" s="1" t="str">
        <f>入力シート!$C21&amp;入力シート!$D21</f>
        <v/>
      </c>
    </row>
    <row r="18" spans="2:21" ht="27.75" customHeight="1" x14ac:dyDescent="0.15">
      <c r="B18" s="3"/>
      <c r="C18" s="3" t="s">
        <v>14</v>
      </c>
      <c r="D18" s="188"/>
      <c r="E18" s="188"/>
      <c r="F18" s="188"/>
      <c r="G18" s="188"/>
      <c r="H18" s="188"/>
      <c r="I18" s="3" t="s">
        <v>0</v>
      </c>
      <c r="J18" s="3"/>
      <c r="K18" s="3"/>
      <c r="L18" s="3"/>
      <c r="M18" s="3"/>
      <c r="N18" s="3"/>
      <c r="O18" s="3"/>
      <c r="P18" s="3"/>
      <c r="Q18" s="3"/>
      <c r="R18" s="3"/>
    </row>
    <row r="19" spans="2:21" ht="27.75" customHeight="1" x14ac:dyDescent="0.15">
      <c r="B19" s="3"/>
      <c r="C19" s="3"/>
      <c r="D19" s="27"/>
      <c r="E19" s="27"/>
      <c r="F19" s="27"/>
      <c r="G19" s="27"/>
      <c r="H19" s="27"/>
      <c r="I19" s="3"/>
      <c r="J19" s="3"/>
      <c r="K19" s="3"/>
      <c r="L19" s="3"/>
      <c r="M19" s="3"/>
      <c r="N19" s="3"/>
      <c r="O19" s="3"/>
      <c r="P19" s="3"/>
      <c r="Q19" s="3"/>
      <c r="R19" s="3"/>
    </row>
    <row r="20" spans="2:21" ht="27.75" customHeight="1" x14ac:dyDescent="0.15">
      <c r="B20" s="3"/>
      <c r="C20" s="3" t="s">
        <v>13</v>
      </c>
      <c r="D20" s="188"/>
      <c r="E20" s="188"/>
      <c r="F20" s="188"/>
      <c r="G20" s="188"/>
      <c r="H20" s="188"/>
    </row>
    <row r="21" spans="2:21" ht="19.5" customHeight="1" x14ac:dyDescent="0.15">
      <c r="B21" s="3"/>
      <c r="C21" s="3"/>
      <c r="D21" s="27"/>
      <c r="E21" s="27"/>
      <c r="F21" s="27"/>
      <c r="G21" s="27"/>
      <c r="H21" s="27"/>
    </row>
    <row r="22" spans="2:21" ht="27.75" customHeight="1" x14ac:dyDescent="0.15">
      <c r="B22" s="3"/>
      <c r="C22" s="3" t="s">
        <v>14</v>
      </c>
      <c r="D22" s="188"/>
      <c r="E22" s="188"/>
      <c r="F22" s="188"/>
      <c r="G22" s="188"/>
      <c r="H22" s="188"/>
      <c r="I22" s="3" t="s">
        <v>0</v>
      </c>
      <c r="J22" s="3"/>
      <c r="K22" s="3"/>
      <c r="L22" s="3"/>
      <c r="M22" s="3"/>
      <c r="N22" s="3"/>
      <c r="O22" s="3"/>
      <c r="P22" s="3"/>
      <c r="Q22" s="3"/>
      <c r="R22" s="3"/>
    </row>
    <row r="23" spans="2:21" ht="15.75" customHeight="1" x14ac:dyDescent="0.15">
      <c r="B23" s="3"/>
      <c r="C23" s="3"/>
      <c r="D23" s="27"/>
      <c r="E23" s="27"/>
      <c r="F23" s="27"/>
      <c r="G23" s="27"/>
      <c r="H23" s="27"/>
      <c r="I23" s="3"/>
      <c r="J23" s="3"/>
      <c r="K23" s="3"/>
      <c r="L23" s="3"/>
      <c r="M23" s="3"/>
      <c r="N23" s="3"/>
      <c r="O23" s="3"/>
      <c r="P23" s="3"/>
      <c r="Q23" s="3"/>
      <c r="R23" s="3"/>
    </row>
    <row r="24" spans="2:21" ht="27.75" customHeight="1" x14ac:dyDescent="0.15">
      <c r="B24" s="3" t="s">
        <v>12</v>
      </c>
      <c r="C24" s="3" t="s">
        <v>13</v>
      </c>
      <c r="D24" s="188"/>
      <c r="E24" s="188"/>
      <c r="F24" s="188"/>
      <c r="G24" s="188"/>
      <c r="H24" s="188"/>
      <c r="I24" s="3"/>
      <c r="J24" s="3"/>
      <c r="K24" s="3"/>
      <c r="L24" s="3"/>
      <c r="M24" s="3"/>
      <c r="N24" s="3"/>
      <c r="O24" s="3"/>
      <c r="P24" s="3"/>
      <c r="Q24" s="3"/>
      <c r="R24" s="3"/>
    </row>
    <row r="25" spans="2:21" ht="27.75" customHeight="1" x14ac:dyDescent="0.15">
      <c r="C25" s="3"/>
      <c r="D25" s="27"/>
      <c r="E25" s="27"/>
      <c r="F25" s="27"/>
      <c r="G25" s="27"/>
      <c r="H25" s="27"/>
      <c r="I25" s="3"/>
      <c r="J25" s="3"/>
      <c r="K25" s="3"/>
      <c r="L25" s="3"/>
      <c r="M25" s="3"/>
      <c r="N25" s="3"/>
      <c r="O25" s="3"/>
      <c r="P25" s="3"/>
      <c r="Q25" s="3"/>
      <c r="R25" s="3"/>
    </row>
    <row r="26" spans="2:21" ht="27.75" customHeight="1" x14ac:dyDescent="0.15">
      <c r="C26" s="3" t="s">
        <v>14</v>
      </c>
      <c r="D26" s="188"/>
      <c r="E26" s="188"/>
      <c r="F26" s="188"/>
      <c r="G26" s="188"/>
      <c r="H26" s="188"/>
      <c r="I26" s="3" t="s">
        <v>0</v>
      </c>
      <c r="J26" s="3"/>
      <c r="K26" s="3"/>
      <c r="L26" s="3"/>
      <c r="M26" s="3"/>
      <c r="N26" s="3"/>
      <c r="O26" s="3"/>
      <c r="P26" s="3"/>
      <c r="Q26" s="3"/>
      <c r="R26" s="3"/>
    </row>
  </sheetData>
  <mergeCells count="13">
    <mergeCell ref="A1:J1"/>
    <mergeCell ref="D26:H26"/>
    <mergeCell ref="D4:I4"/>
    <mergeCell ref="D20:H20"/>
    <mergeCell ref="D22:H22"/>
    <mergeCell ref="A9:I9"/>
    <mergeCell ref="D16:H16"/>
    <mergeCell ref="D6:I6"/>
    <mergeCell ref="D18:H18"/>
    <mergeCell ref="D24:H24"/>
    <mergeCell ref="A11:J11"/>
    <mergeCell ref="A12:J12"/>
    <mergeCell ref="A13:J13"/>
  </mergeCells>
  <phoneticPr fontId="2"/>
  <dataValidations count="1">
    <dataValidation type="list" allowBlank="1" showInputMessage="1" sqref="D6:I6 D4:I4" xr:uid="{96498E8A-0BDF-4963-9376-10E0FF29BE41}">
      <formula1>$U$3:$U$17</formula1>
    </dataValidation>
  </dataValidations>
  <pageMargins left="1.19" right="0.78700000000000003" top="0.98399999999999999" bottom="0.98399999999999999" header="0.51200000000000001" footer="0.51200000000000001"/>
  <pageSetup paperSize="8" orientation="landscape" horizontalDpi="4294967292" verticalDpi="12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35"/>
  <sheetViews>
    <sheetView topLeftCell="A10" workbookViewId="0">
      <selection activeCell="D16" sqref="D16:H30"/>
    </sheetView>
  </sheetViews>
  <sheetFormatPr defaultRowHeight="13.5" x14ac:dyDescent="0.15"/>
  <cols>
    <col min="1" max="1" width="3.25" style="1" customWidth="1"/>
    <col min="2" max="2" width="7.375" style="1" customWidth="1"/>
    <col min="3" max="3" width="10.375" style="1" customWidth="1"/>
    <col min="4" max="16384" width="9" style="1"/>
  </cols>
  <sheetData>
    <row r="1" spans="1:21" ht="53.25" customHeight="1" x14ac:dyDescent="0.15">
      <c r="A1" s="190" t="s">
        <v>10</v>
      </c>
      <c r="B1" s="190"/>
      <c r="C1" s="190"/>
      <c r="D1" s="190"/>
      <c r="E1" s="190"/>
      <c r="F1" s="190"/>
      <c r="G1" s="190"/>
      <c r="H1" s="190"/>
      <c r="I1" s="190"/>
      <c r="J1" s="190"/>
      <c r="K1" s="4"/>
      <c r="L1" s="4"/>
      <c r="M1" s="4"/>
      <c r="N1" s="4"/>
      <c r="O1" s="4"/>
      <c r="P1" s="4"/>
      <c r="Q1" s="4"/>
      <c r="R1" s="4"/>
      <c r="S1" s="4"/>
    </row>
    <row r="2" spans="1:21" ht="35.25" customHeight="1" x14ac:dyDescent="0.15">
      <c r="A2" s="2">
        <v>1</v>
      </c>
      <c r="B2" s="1" t="s">
        <v>70</v>
      </c>
    </row>
    <row r="3" spans="1:21" ht="23.25" customHeight="1" x14ac:dyDescent="0.15">
      <c r="U3" s="1" t="e">
        <f>入力シート!$C7&amp;入力シート!$D7</f>
        <v>#REF!</v>
      </c>
    </row>
    <row r="4" spans="1:21" ht="21" customHeight="1" x14ac:dyDescent="0.15">
      <c r="C4" s="1" t="s">
        <v>7</v>
      </c>
      <c r="D4" s="193" t="s">
        <v>117</v>
      </c>
      <c r="E4" s="193"/>
      <c r="F4" s="193"/>
      <c r="G4" s="193"/>
      <c r="H4" s="193"/>
      <c r="I4" s="193"/>
      <c r="J4" s="7"/>
      <c r="K4" s="7"/>
      <c r="L4" s="7"/>
      <c r="M4" s="7"/>
      <c r="N4" s="7"/>
      <c r="O4" s="7"/>
      <c r="P4" s="7"/>
      <c r="R4" s="7"/>
      <c r="U4" s="1" t="e">
        <f>入力シート!$C8&amp;入力シート!$D8</f>
        <v>#REF!</v>
      </c>
    </row>
    <row r="5" spans="1:21" ht="21" customHeight="1" x14ac:dyDescent="0.15">
      <c r="U5" s="1" t="e">
        <f>入力シート!$C9&amp;入力シート!$D9</f>
        <v>#REF!</v>
      </c>
    </row>
    <row r="6" spans="1:21" ht="21" customHeight="1" x14ac:dyDescent="0.15">
      <c r="C6" s="1" t="s">
        <v>8</v>
      </c>
      <c r="D6" s="193" t="s">
        <v>117</v>
      </c>
      <c r="E6" s="193"/>
      <c r="F6" s="193"/>
      <c r="G6" s="193"/>
      <c r="H6" s="193"/>
      <c r="I6" s="193"/>
      <c r="U6" s="1" t="e">
        <f>入力シート!$C10&amp;入力シート!$D10</f>
        <v>#REF!</v>
      </c>
    </row>
    <row r="7" spans="1:21" ht="26.25" customHeight="1" x14ac:dyDescent="0.15">
      <c r="U7" s="1" t="e">
        <f>入力シート!$C11&amp;入力シート!$D11</f>
        <v>#REF!</v>
      </c>
    </row>
    <row r="8" spans="1:21" ht="29.25" customHeight="1" x14ac:dyDescent="0.15">
      <c r="A8" s="2">
        <v>2</v>
      </c>
      <c r="B8" s="1" t="s">
        <v>71</v>
      </c>
      <c r="U8" s="1" t="e">
        <f>入力シート!$C12&amp;入力シート!$D12</f>
        <v>#REF!</v>
      </c>
    </row>
    <row r="9" spans="1:21" ht="26.25" customHeight="1" x14ac:dyDescent="0.15">
      <c r="A9" s="191" t="s">
        <v>9</v>
      </c>
      <c r="B9" s="191"/>
      <c r="C9" s="191"/>
      <c r="D9" s="191"/>
      <c r="E9" s="191"/>
      <c r="F9" s="191"/>
      <c r="G9" s="191"/>
      <c r="H9" s="191"/>
      <c r="I9" s="191"/>
      <c r="J9" s="3"/>
      <c r="K9" s="3"/>
      <c r="L9" s="3"/>
      <c r="M9" s="3"/>
      <c r="N9" s="3"/>
      <c r="O9" s="3"/>
      <c r="P9" s="3"/>
      <c r="Q9" s="3"/>
      <c r="R9" s="3"/>
      <c r="S9" s="3"/>
      <c r="U9" s="1" t="str">
        <f>入力シート!$C13&amp;入力シート!$D13</f>
        <v/>
      </c>
    </row>
    <row r="10" spans="1:21" ht="14.25" customHeight="1" x14ac:dyDescent="0.15">
      <c r="U10" s="1" t="str">
        <f>入力シート!$C14&amp;入力シート!$D14</f>
        <v/>
      </c>
    </row>
    <row r="11" spans="1:21" ht="33" customHeight="1" x14ac:dyDescent="0.15">
      <c r="A11" s="189" t="s">
        <v>73</v>
      </c>
      <c r="B11" s="189"/>
      <c r="C11" s="189"/>
      <c r="D11" s="189"/>
      <c r="E11" s="189"/>
      <c r="F11" s="189"/>
      <c r="G11" s="189"/>
      <c r="H11" s="189"/>
      <c r="I11" s="189"/>
      <c r="J11" s="189"/>
      <c r="K11" s="5"/>
      <c r="L11" s="5"/>
      <c r="M11" s="5"/>
      <c r="N11" s="5"/>
      <c r="O11" s="5"/>
      <c r="P11" s="5"/>
      <c r="Q11" s="5"/>
      <c r="R11" s="5"/>
      <c r="S11" s="5"/>
      <c r="U11" s="1" t="str">
        <f>入力シート!$C15&amp;入力シート!$D15</f>
        <v/>
      </c>
    </row>
    <row r="12" spans="1:21" ht="33" customHeight="1" x14ac:dyDescent="0.15">
      <c r="A12" s="189" t="s">
        <v>79</v>
      </c>
      <c r="B12" s="189"/>
      <c r="C12" s="189"/>
      <c r="D12" s="189"/>
      <c r="E12" s="189"/>
      <c r="F12" s="189"/>
      <c r="G12" s="189"/>
      <c r="H12" s="189"/>
      <c r="I12" s="189"/>
      <c r="J12" s="189"/>
      <c r="U12" s="1" t="str">
        <f>入力シート!$C16&amp;入力シート!$D16</f>
        <v/>
      </c>
    </row>
    <row r="13" spans="1:21" ht="14.25" customHeight="1" x14ac:dyDescent="0.15">
      <c r="U13" s="1" t="str">
        <f>入力シート!$C17&amp;入力シート!$D17</f>
        <v/>
      </c>
    </row>
    <row r="14" spans="1:21" ht="27.75" customHeight="1" x14ac:dyDescent="0.15">
      <c r="B14" s="1" t="s">
        <v>95</v>
      </c>
      <c r="U14" s="1" t="str">
        <f>入力シート!$C18&amp;入力シート!$D18</f>
        <v/>
      </c>
    </row>
    <row r="15" spans="1:21" ht="21" customHeight="1" x14ac:dyDescent="0.15">
      <c r="U15" s="1" t="str">
        <f>入力シート!$C19&amp;入力シート!$D19</f>
        <v/>
      </c>
    </row>
    <row r="16" spans="1:21" ht="30" customHeight="1" x14ac:dyDescent="0.15">
      <c r="B16" s="3" t="s">
        <v>11</v>
      </c>
      <c r="C16" s="3" t="s">
        <v>13</v>
      </c>
      <c r="D16" s="196"/>
      <c r="E16" s="196"/>
      <c r="F16" s="196"/>
      <c r="G16" s="196"/>
      <c r="H16" s="196"/>
      <c r="I16" s="3"/>
      <c r="J16" s="3"/>
      <c r="K16" s="3"/>
      <c r="L16" s="3"/>
      <c r="M16" s="3"/>
      <c r="N16" s="3"/>
      <c r="O16" s="3"/>
      <c r="P16" s="3"/>
      <c r="Q16" s="3"/>
      <c r="R16" s="3"/>
      <c r="U16" s="1" t="str">
        <f>入力シート!$C20&amp;入力シート!$D20</f>
        <v/>
      </c>
    </row>
    <row r="17" spans="2:21" ht="15" customHeight="1" x14ac:dyDescent="0.15">
      <c r="C17" s="3"/>
      <c r="I17" s="3"/>
      <c r="J17" s="3"/>
      <c r="K17" s="3"/>
      <c r="L17" s="3"/>
      <c r="M17" s="3"/>
      <c r="N17" s="3"/>
      <c r="O17" s="3"/>
      <c r="P17" s="3"/>
      <c r="Q17" s="3"/>
      <c r="R17" s="3"/>
      <c r="U17" s="1" t="str">
        <f>入力シート!$C21&amp;入力シート!$D21</f>
        <v/>
      </c>
    </row>
    <row r="18" spans="2:21" ht="30" customHeight="1" x14ac:dyDescent="0.15">
      <c r="C18" s="3" t="s">
        <v>14</v>
      </c>
      <c r="D18" s="196"/>
      <c r="E18" s="196"/>
      <c r="F18" s="196"/>
      <c r="G18" s="196"/>
      <c r="H18" s="196"/>
      <c r="I18" s="3" t="s">
        <v>0</v>
      </c>
      <c r="J18" s="3"/>
      <c r="K18" s="3"/>
      <c r="L18" s="3"/>
      <c r="M18" s="3"/>
      <c r="N18" s="3"/>
      <c r="O18" s="3"/>
      <c r="P18" s="3"/>
      <c r="Q18" s="3"/>
      <c r="R18" s="3"/>
    </row>
    <row r="19" spans="2:21" ht="20.25" customHeight="1" x14ac:dyDescent="0.15">
      <c r="B19" s="3"/>
      <c r="C19" s="3"/>
      <c r="I19" s="3"/>
      <c r="J19" s="3"/>
      <c r="K19" s="3"/>
      <c r="L19" s="3"/>
      <c r="M19" s="3"/>
      <c r="N19" s="3"/>
      <c r="O19" s="3"/>
      <c r="P19" s="3"/>
      <c r="Q19" s="3"/>
      <c r="R19" s="3"/>
    </row>
    <row r="20" spans="2:21" ht="30" customHeight="1" x14ac:dyDescent="0.15">
      <c r="B20" s="3"/>
      <c r="C20" s="3" t="s">
        <v>13</v>
      </c>
      <c r="D20" s="195"/>
      <c r="E20" s="195"/>
      <c r="F20" s="195"/>
      <c r="G20" s="195"/>
      <c r="H20" s="195"/>
      <c r="I20" s="3"/>
      <c r="J20" s="3"/>
      <c r="K20" s="3"/>
      <c r="L20" s="3"/>
      <c r="M20" s="3"/>
      <c r="N20" s="3"/>
      <c r="O20" s="3"/>
      <c r="P20" s="3"/>
      <c r="Q20" s="3"/>
      <c r="R20" s="3"/>
    </row>
    <row r="21" spans="2:21" ht="15" customHeight="1" x14ac:dyDescent="0.15">
      <c r="C21" s="3"/>
      <c r="D21" s="2"/>
      <c r="E21" s="2"/>
      <c r="F21" s="2"/>
      <c r="G21" s="2"/>
      <c r="H21" s="2"/>
      <c r="I21" s="3"/>
      <c r="J21" s="3"/>
      <c r="K21" s="3"/>
      <c r="L21" s="3"/>
      <c r="M21" s="3"/>
      <c r="N21" s="3"/>
      <c r="O21" s="3"/>
      <c r="P21" s="3"/>
      <c r="Q21" s="3"/>
      <c r="R21" s="3"/>
    </row>
    <row r="22" spans="2:21" ht="30" customHeight="1" x14ac:dyDescent="0.15">
      <c r="C22" s="3" t="s">
        <v>14</v>
      </c>
      <c r="D22" s="195"/>
      <c r="E22" s="195"/>
      <c r="F22" s="195"/>
      <c r="G22" s="195"/>
      <c r="H22" s="195"/>
      <c r="I22" s="3" t="s">
        <v>0</v>
      </c>
      <c r="J22" s="3"/>
      <c r="K22" s="3"/>
      <c r="L22" s="3"/>
      <c r="M22" s="3"/>
      <c r="N22" s="3"/>
      <c r="O22" s="3"/>
      <c r="P22" s="3"/>
      <c r="Q22" s="3"/>
      <c r="R22" s="3"/>
    </row>
    <row r="23" spans="2:21" ht="20.25" customHeight="1" x14ac:dyDescent="0.15">
      <c r="B23" s="3"/>
      <c r="C23" s="3"/>
      <c r="D23" s="2"/>
      <c r="E23" s="2"/>
      <c r="F23" s="2"/>
      <c r="G23" s="2"/>
      <c r="H23" s="2"/>
      <c r="I23" s="3"/>
      <c r="J23" s="3"/>
      <c r="K23" s="3"/>
      <c r="L23" s="3"/>
      <c r="M23" s="3"/>
      <c r="N23" s="3"/>
      <c r="O23" s="3"/>
      <c r="P23" s="3"/>
      <c r="Q23" s="3"/>
      <c r="R23" s="3"/>
    </row>
    <row r="24" spans="2:21" ht="30" customHeight="1" x14ac:dyDescent="0.15">
      <c r="B24" s="3"/>
      <c r="C24" s="3" t="s">
        <v>13</v>
      </c>
      <c r="D24" s="195"/>
      <c r="E24" s="195"/>
      <c r="F24" s="195"/>
      <c r="G24" s="195"/>
      <c r="H24" s="195"/>
      <c r="I24" s="3"/>
      <c r="J24" s="3"/>
      <c r="K24" s="3"/>
      <c r="L24" s="3"/>
      <c r="M24" s="3"/>
      <c r="N24" s="3"/>
      <c r="O24" s="3"/>
      <c r="P24" s="3"/>
      <c r="Q24" s="3"/>
      <c r="R24" s="3"/>
    </row>
    <row r="25" spans="2:21" ht="15" customHeight="1" x14ac:dyDescent="0.15">
      <c r="C25" s="3"/>
      <c r="D25" s="2"/>
      <c r="E25" s="2"/>
      <c r="F25" s="2"/>
      <c r="G25" s="2"/>
      <c r="H25" s="2"/>
      <c r="I25" s="3"/>
      <c r="J25" s="3"/>
      <c r="K25" s="3"/>
      <c r="L25" s="3"/>
      <c r="M25" s="3"/>
      <c r="N25" s="3"/>
      <c r="O25" s="3"/>
      <c r="P25" s="3"/>
      <c r="Q25" s="3"/>
      <c r="R25" s="3"/>
    </row>
    <row r="26" spans="2:21" ht="30" customHeight="1" x14ac:dyDescent="0.15">
      <c r="C26" s="3" t="s">
        <v>14</v>
      </c>
      <c r="D26" s="195"/>
      <c r="E26" s="195"/>
      <c r="F26" s="195"/>
      <c r="G26" s="195"/>
      <c r="H26" s="195"/>
      <c r="I26" s="3" t="s">
        <v>0</v>
      </c>
      <c r="J26" s="3"/>
      <c r="K26" s="3"/>
      <c r="L26" s="3"/>
      <c r="M26" s="3"/>
      <c r="N26" s="3"/>
      <c r="O26" s="3"/>
      <c r="P26" s="3"/>
      <c r="Q26" s="3"/>
      <c r="R26" s="3"/>
    </row>
    <row r="27" spans="2:21" ht="20.25" customHeight="1" x14ac:dyDescent="0.15">
      <c r="B27" s="3"/>
      <c r="C27" s="3"/>
      <c r="D27" s="27"/>
      <c r="E27" s="27"/>
      <c r="F27" s="27"/>
      <c r="G27" s="27"/>
      <c r="H27" s="27"/>
      <c r="I27" s="3"/>
      <c r="J27" s="3"/>
      <c r="K27" s="3"/>
      <c r="L27" s="3"/>
      <c r="M27" s="3"/>
      <c r="N27" s="3"/>
      <c r="O27" s="3"/>
      <c r="P27" s="3"/>
      <c r="Q27" s="3"/>
      <c r="R27" s="3"/>
    </row>
    <row r="28" spans="2:21" ht="30" customHeight="1" x14ac:dyDescent="0.15">
      <c r="B28" s="3" t="s">
        <v>12</v>
      </c>
      <c r="C28" s="3" t="s">
        <v>13</v>
      </c>
      <c r="D28" s="188"/>
      <c r="E28" s="188"/>
      <c r="F28" s="188"/>
      <c r="G28" s="188"/>
      <c r="H28" s="188"/>
      <c r="I28" s="3"/>
      <c r="J28" s="3"/>
      <c r="K28" s="3"/>
      <c r="L28" s="3"/>
      <c r="M28" s="3"/>
      <c r="N28" s="3"/>
      <c r="O28" s="3"/>
      <c r="P28" s="3"/>
      <c r="Q28" s="3"/>
      <c r="R28" s="3"/>
    </row>
    <row r="29" spans="2:21" ht="15" customHeight="1" x14ac:dyDescent="0.15">
      <c r="C29" s="3"/>
      <c r="D29" s="27"/>
      <c r="E29" s="27"/>
      <c r="F29" s="27"/>
      <c r="G29" s="27"/>
      <c r="H29" s="27"/>
      <c r="I29" s="3"/>
      <c r="J29" s="3"/>
      <c r="K29" s="3"/>
      <c r="L29" s="3"/>
      <c r="M29" s="3"/>
      <c r="N29" s="3"/>
      <c r="O29" s="3"/>
      <c r="P29" s="3"/>
      <c r="Q29" s="3"/>
      <c r="R29" s="3"/>
    </row>
    <row r="30" spans="2:21" ht="30" customHeight="1" x14ac:dyDescent="0.15">
      <c r="C30" s="3" t="s">
        <v>14</v>
      </c>
      <c r="D30" s="188"/>
      <c r="E30" s="188"/>
      <c r="F30" s="188"/>
      <c r="G30" s="188"/>
      <c r="H30" s="188"/>
      <c r="I30" s="3" t="s">
        <v>0</v>
      </c>
      <c r="J30" s="3"/>
      <c r="K30" s="3"/>
      <c r="L30" s="3"/>
      <c r="M30" s="3"/>
      <c r="N30" s="3"/>
      <c r="O30" s="3"/>
      <c r="P30" s="3"/>
      <c r="Q30" s="3"/>
      <c r="R30" s="3"/>
    </row>
    <row r="31" spans="2:21" ht="20.25" customHeight="1" x14ac:dyDescent="0.15">
      <c r="B31" s="3"/>
      <c r="C31" s="3"/>
      <c r="I31" s="3"/>
      <c r="J31" s="3"/>
      <c r="K31" s="3"/>
      <c r="L31" s="3"/>
      <c r="M31" s="3"/>
      <c r="N31" s="3"/>
      <c r="O31" s="3"/>
      <c r="P31" s="3"/>
      <c r="Q31" s="3"/>
      <c r="R31" s="3"/>
    </row>
    <row r="33" spans="3:18" ht="27.75" customHeight="1" x14ac:dyDescent="0.15">
      <c r="C33" s="3"/>
      <c r="I33" s="3"/>
      <c r="J33" s="3"/>
      <c r="K33" s="3"/>
      <c r="L33" s="3"/>
      <c r="M33" s="3"/>
      <c r="N33" s="3"/>
      <c r="O33" s="3"/>
      <c r="P33" s="3"/>
      <c r="Q33" s="3"/>
      <c r="R33" s="3"/>
    </row>
    <row r="34" spans="3:18" ht="27.75" customHeight="1" x14ac:dyDescent="0.15">
      <c r="C34" s="3"/>
      <c r="I34" s="3"/>
      <c r="J34" s="3"/>
      <c r="K34" s="3"/>
      <c r="L34" s="3"/>
      <c r="M34" s="3"/>
      <c r="N34" s="3"/>
      <c r="O34" s="3"/>
      <c r="P34" s="3"/>
      <c r="Q34" s="3"/>
      <c r="R34" s="3"/>
    </row>
    <row r="35" spans="3:18" ht="27.75" customHeight="1" x14ac:dyDescent="0.15">
      <c r="C35" s="3"/>
      <c r="I35" s="3"/>
      <c r="J35" s="3"/>
      <c r="K35" s="3"/>
      <c r="L35" s="3"/>
      <c r="M35" s="3"/>
      <c r="N35" s="3"/>
      <c r="O35" s="3"/>
      <c r="P35" s="3"/>
      <c r="Q35" s="3"/>
      <c r="R35" s="3"/>
    </row>
  </sheetData>
  <mergeCells count="14">
    <mergeCell ref="A1:J1"/>
    <mergeCell ref="D4:I4"/>
    <mergeCell ref="D18:H18"/>
    <mergeCell ref="D24:H24"/>
    <mergeCell ref="D6:I6"/>
    <mergeCell ref="D20:H20"/>
    <mergeCell ref="D22:H22"/>
    <mergeCell ref="A9:I9"/>
    <mergeCell ref="D16:H16"/>
    <mergeCell ref="D30:H30"/>
    <mergeCell ref="A11:J11"/>
    <mergeCell ref="A12:J12"/>
    <mergeCell ref="D28:H28"/>
    <mergeCell ref="D26:H26"/>
  </mergeCells>
  <phoneticPr fontId="2"/>
  <dataValidations count="1">
    <dataValidation type="list" allowBlank="1" showInputMessage="1" sqref="D4:I4 D6:I6" xr:uid="{3A4B1CFD-53E7-4A0C-9F5C-A9F6D0BFDAAD}">
      <formula1>$U$3:$U$17</formula1>
    </dataValidation>
  </dataValidations>
  <pageMargins left="1.19" right="0.78700000000000003" top="0.98399999999999999" bottom="0.6" header="0.51200000000000001" footer="0.51200000000000001"/>
  <pageSetup paperSize="8" orientation="landscape" verticalDpi="120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6"/>
  <sheetViews>
    <sheetView topLeftCell="A13" workbookViewId="0">
      <selection activeCell="D16" sqref="D16:H26"/>
    </sheetView>
  </sheetViews>
  <sheetFormatPr defaultRowHeight="13.5" x14ac:dyDescent="0.15"/>
  <cols>
    <col min="1" max="1" width="3.25" style="1" customWidth="1"/>
    <col min="2" max="2" width="7.375" style="1" customWidth="1"/>
    <col min="3" max="3" width="10.375" style="1" customWidth="1"/>
    <col min="4" max="19" width="9" style="1"/>
    <col min="20" max="20" width="4.125" style="1" customWidth="1"/>
    <col min="21" max="16384" width="9" style="1"/>
  </cols>
  <sheetData>
    <row r="1" spans="1:21" ht="76.5" customHeight="1" x14ac:dyDescent="0.15">
      <c r="A1" s="190" t="s">
        <v>10</v>
      </c>
      <c r="B1" s="190"/>
      <c r="C1" s="190"/>
      <c r="D1" s="190"/>
      <c r="E1" s="190"/>
      <c r="F1" s="190"/>
      <c r="G1" s="190"/>
      <c r="H1" s="190"/>
      <c r="I1" s="190"/>
      <c r="J1" s="190"/>
      <c r="K1" s="4"/>
      <c r="L1" s="4"/>
      <c r="M1" s="4"/>
      <c r="N1" s="4"/>
      <c r="O1" s="4"/>
      <c r="P1" s="4"/>
      <c r="Q1" s="4"/>
      <c r="R1" s="4"/>
    </row>
    <row r="2" spans="1:21" ht="35.25" customHeight="1" x14ac:dyDescent="0.15">
      <c r="A2" s="2">
        <v>1</v>
      </c>
      <c r="B2" s="1" t="s">
        <v>70</v>
      </c>
    </row>
    <row r="3" spans="1:21" ht="20.25" customHeight="1" x14ac:dyDescent="0.15">
      <c r="U3" s="1" t="e">
        <f>入力シート!$C7&amp;入力シート!$D7</f>
        <v>#REF!</v>
      </c>
    </row>
    <row r="4" spans="1:21" ht="20.25" customHeight="1" x14ac:dyDescent="0.15">
      <c r="C4" s="1" t="s">
        <v>7</v>
      </c>
      <c r="D4" s="193" t="s">
        <v>117</v>
      </c>
      <c r="E4" s="193"/>
      <c r="F4" s="193"/>
      <c r="G4" s="193"/>
      <c r="H4" s="193"/>
      <c r="I4" s="193"/>
      <c r="U4" s="1" t="e">
        <f>入力シート!$C8&amp;入力シート!$D8</f>
        <v>#REF!</v>
      </c>
    </row>
    <row r="5" spans="1:21" ht="20.25" customHeight="1" x14ac:dyDescent="0.15">
      <c r="U5" s="1" t="e">
        <f>入力シート!$C9&amp;入力シート!$D9</f>
        <v>#REF!</v>
      </c>
    </row>
    <row r="6" spans="1:21" ht="20.25" customHeight="1" x14ac:dyDescent="0.15">
      <c r="C6" s="1" t="s">
        <v>8</v>
      </c>
      <c r="D6" s="193" t="s">
        <v>117</v>
      </c>
      <c r="E6" s="193"/>
      <c r="F6" s="193"/>
      <c r="G6" s="193"/>
      <c r="H6" s="193"/>
      <c r="I6" s="193"/>
      <c r="U6" s="1" t="e">
        <f>入力シート!$C10&amp;入力シート!$D10</f>
        <v>#REF!</v>
      </c>
    </row>
    <row r="7" spans="1:21" ht="27" customHeight="1" x14ac:dyDescent="0.15">
      <c r="U7" s="1" t="e">
        <f>入力シート!$C11&amp;入力シート!$D11</f>
        <v>#REF!</v>
      </c>
    </row>
    <row r="8" spans="1:21" ht="33.75" customHeight="1" x14ac:dyDescent="0.15">
      <c r="A8" s="2">
        <v>2</v>
      </c>
      <c r="B8" s="1" t="s">
        <v>71</v>
      </c>
      <c r="U8" s="1" t="e">
        <f>入力シート!$C12&amp;入力シート!$D12</f>
        <v>#REF!</v>
      </c>
    </row>
    <row r="9" spans="1:21" ht="24" customHeight="1" x14ac:dyDescent="0.15">
      <c r="A9" s="191" t="s">
        <v>9</v>
      </c>
      <c r="B9" s="191"/>
      <c r="C9" s="191"/>
      <c r="D9" s="191"/>
      <c r="E9" s="191"/>
      <c r="F9" s="191"/>
      <c r="G9" s="191"/>
      <c r="H9" s="191"/>
      <c r="I9" s="191"/>
      <c r="J9" s="191"/>
      <c r="K9" s="3"/>
      <c r="L9" s="3"/>
      <c r="M9" s="3"/>
      <c r="N9" s="3"/>
      <c r="O9" s="3"/>
      <c r="P9" s="3"/>
      <c r="Q9" s="3"/>
      <c r="R9" s="3"/>
      <c r="U9" s="1" t="str">
        <f>入力シート!$C13&amp;入力シート!$D13</f>
        <v/>
      </c>
    </row>
    <row r="10" spans="1:21" ht="30.75" customHeight="1" x14ac:dyDescent="0.15">
      <c r="U10" s="1" t="str">
        <f>入力シート!$C14&amp;入力シート!$D14</f>
        <v/>
      </c>
    </row>
    <row r="11" spans="1:21" ht="32.25" customHeight="1" x14ac:dyDescent="0.15">
      <c r="A11" s="189" t="s">
        <v>73</v>
      </c>
      <c r="B11" s="189"/>
      <c r="C11" s="189"/>
      <c r="D11" s="189"/>
      <c r="E11" s="189"/>
      <c r="F11" s="189"/>
      <c r="G11" s="189"/>
      <c r="H11" s="189"/>
      <c r="I11" s="189"/>
      <c r="J11" s="189"/>
      <c r="K11" s="5"/>
      <c r="L11" s="5"/>
      <c r="M11" s="5"/>
      <c r="N11" s="5"/>
      <c r="O11" s="5"/>
      <c r="P11" s="5"/>
      <c r="Q11" s="5"/>
      <c r="R11" s="5"/>
      <c r="U11" s="1" t="str">
        <f>入力シート!$C15&amp;入力シート!$D15</f>
        <v/>
      </c>
    </row>
    <row r="12" spans="1:21" ht="32.25" customHeight="1" x14ac:dyDescent="0.15">
      <c r="A12" s="189" t="s">
        <v>79</v>
      </c>
      <c r="B12" s="189"/>
      <c r="C12" s="189"/>
      <c r="D12" s="189"/>
      <c r="E12" s="189"/>
      <c r="F12" s="189"/>
      <c r="G12" s="189"/>
      <c r="H12" s="189"/>
      <c r="I12" s="189"/>
      <c r="J12" s="189"/>
      <c r="U12" s="1" t="str">
        <f>入力シート!$C16&amp;入力シート!$D16</f>
        <v/>
      </c>
    </row>
    <row r="13" spans="1:21" ht="42" customHeight="1" x14ac:dyDescent="0.15">
      <c r="U13" s="1" t="str">
        <f>入力シート!$C17&amp;入力シート!$D17</f>
        <v/>
      </c>
    </row>
    <row r="14" spans="1:21" ht="27.75" customHeight="1" x14ac:dyDescent="0.15">
      <c r="B14" s="1" t="s">
        <v>95</v>
      </c>
      <c r="U14" s="1" t="str">
        <f>入力シート!$C18&amp;入力シート!$D18</f>
        <v/>
      </c>
    </row>
    <row r="15" spans="1:21" ht="27.75" customHeight="1" x14ac:dyDescent="0.15">
      <c r="U15" s="1" t="str">
        <f>入力シート!$C19&amp;入力シート!$D19</f>
        <v/>
      </c>
    </row>
    <row r="16" spans="1:21" ht="27.75" customHeight="1" x14ac:dyDescent="0.15">
      <c r="B16" s="3" t="s">
        <v>11</v>
      </c>
      <c r="C16" s="3" t="s">
        <v>13</v>
      </c>
      <c r="D16" s="188"/>
      <c r="E16" s="188"/>
      <c r="F16" s="188"/>
      <c r="G16" s="188"/>
      <c r="H16" s="188"/>
      <c r="U16" s="1" t="str">
        <f>入力シート!$C20&amp;入力シート!$D20</f>
        <v/>
      </c>
    </row>
    <row r="17" spans="2:21" ht="18" customHeight="1" x14ac:dyDescent="0.15">
      <c r="B17" s="3"/>
      <c r="C17" s="3"/>
      <c r="D17" s="27"/>
      <c r="E17" s="27"/>
      <c r="F17" s="27"/>
      <c r="G17" s="27"/>
      <c r="H17" s="27"/>
      <c r="U17" s="1" t="str">
        <f>入力シート!$C21&amp;入力シート!$D21</f>
        <v/>
      </c>
    </row>
    <row r="18" spans="2:21" ht="27.75" customHeight="1" x14ac:dyDescent="0.15">
      <c r="B18" s="3"/>
      <c r="C18" s="3" t="s">
        <v>14</v>
      </c>
      <c r="D18" s="188"/>
      <c r="E18" s="188"/>
      <c r="F18" s="188"/>
      <c r="G18" s="188"/>
      <c r="H18" s="188"/>
      <c r="I18" s="3" t="s">
        <v>0</v>
      </c>
    </row>
    <row r="19" spans="2:21" ht="27.75" customHeight="1" x14ac:dyDescent="0.15">
      <c r="B19" s="3"/>
      <c r="C19" s="3"/>
      <c r="D19" s="27"/>
      <c r="E19" s="27"/>
      <c r="F19" s="27"/>
      <c r="G19" s="27"/>
      <c r="H19" s="27"/>
      <c r="I19" s="3"/>
    </row>
    <row r="20" spans="2:21" ht="27.75" customHeight="1" x14ac:dyDescent="0.15">
      <c r="B20" s="3" t="s">
        <v>12</v>
      </c>
      <c r="C20" s="3" t="s">
        <v>13</v>
      </c>
      <c r="D20" s="188"/>
      <c r="E20" s="188"/>
      <c r="F20" s="188"/>
      <c r="G20" s="188"/>
      <c r="H20" s="188"/>
      <c r="I20" s="3"/>
    </row>
    <row r="21" spans="2:21" ht="18" customHeight="1" x14ac:dyDescent="0.15">
      <c r="C21" s="3"/>
      <c r="D21" s="27"/>
      <c r="E21" s="27"/>
      <c r="F21" s="27"/>
      <c r="G21" s="27"/>
      <c r="H21" s="27"/>
      <c r="I21" s="3"/>
    </row>
    <row r="22" spans="2:21" ht="27.75" customHeight="1" x14ac:dyDescent="0.15">
      <c r="C22" s="3" t="s">
        <v>14</v>
      </c>
      <c r="D22" s="188"/>
      <c r="E22" s="188"/>
      <c r="F22" s="188"/>
      <c r="G22" s="188"/>
      <c r="H22" s="188"/>
      <c r="I22" s="3" t="s">
        <v>0</v>
      </c>
    </row>
    <row r="23" spans="2:21" ht="23.25" customHeight="1" x14ac:dyDescent="0.15">
      <c r="C23" s="3"/>
      <c r="D23" s="27"/>
      <c r="E23" s="27"/>
      <c r="F23" s="27"/>
      <c r="G23" s="27"/>
      <c r="H23" s="27"/>
      <c r="I23" s="3"/>
    </row>
    <row r="24" spans="2:21" ht="27.75" customHeight="1" x14ac:dyDescent="0.15">
      <c r="B24" s="3"/>
      <c r="C24" s="3" t="s">
        <v>13</v>
      </c>
      <c r="D24" s="188"/>
      <c r="E24" s="188"/>
      <c r="F24" s="188"/>
      <c r="G24" s="188"/>
      <c r="H24" s="188"/>
      <c r="I24" s="3"/>
    </row>
    <row r="25" spans="2:21" ht="18" customHeight="1" x14ac:dyDescent="0.15">
      <c r="C25" s="3"/>
      <c r="D25" s="27"/>
      <c r="E25" s="27"/>
      <c r="F25" s="27"/>
      <c r="G25" s="27"/>
      <c r="H25" s="27"/>
      <c r="I25" s="3"/>
    </row>
    <row r="26" spans="2:21" ht="27.75" customHeight="1" x14ac:dyDescent="0.15">
      <c r="C26" s="3" t="s">
        <v>14</v>
      </c>
      <c r="D26" s="188"/>
      <c r="E26" s="188"/>
      <c r="F26" s="188"/>
      <c r="G26" s="188"/>
      <c r="H26" s="188"/>
      <c r="I26" s="3" t="s">
        <v>0</v>
      </c>
    </row>
  </sheetData>
  <mergeCells count="12">
    <mergeCell ref="A1:J1"/>
    <mergeCell ref="A9:J9"/>
    <mergeCell ref="A11:J11"/>
    <mergeCell ref="D16:H16"/>
    <mergeCell ref="A12:J12"/>
    <mergeCell ref="D24:H24"/>
    <mergeCell ref="D26:H26"/>
    <mergeCell ref="D4:I4"/>
    <mergeCell ref="D20:H20"/>
    <mergeCell ref="D22:H22"/>
    <mergeCell ref="D6:I6"/>
    <mergeCell ref="D18:H18"/>
  </mergeCells>
  <phoneticPr fontId="2"/>
  <dataValidations count="1">
    <dataValidation type="list" allowBlank="1" showInputMessage="1" sqref="D4:I4 D6:I6" xr:uid="{E85FA507-D429-4552-9F15-ACD409188C90}">
      <formula1>$U$3:$U$17</formula1>
    </dataValidation>
  </dataValidations>
  <pageMargins left="1.1811023622047245" right="0.78740157480314965" top="0.98425196850393704" bottom="0.98425196850393704" header="0.51181102362204722" footer="0.51181102362204722"/>
  <pageSetup paperSize="8" orientation="landscape" horizontalDpi="4294967292" verticalDpi="12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30"/>
  <sheetViews>
    <sheetView topLeftCell="A10" workbookViewId="0">
      <selection activeCell="D16" sqref="D16:H30"/>
    </sheetView>
  </sheetViews>
  <sheetFormatPr defaultRowHeight="13.5" x14ac:dyDescent="0.15"/>
  <cols>
    <col min="1" max="1" width="3.25" style="1" customWidth="1"/>
    <col min="2" max="2" width="7.375" style="1" customWidth="1"/>
    <col min="3" max="3" width="10.375" style="1" customWidth="1"/>
    <col min="4" max="16384" width="9" style="1"/>
  </cols>
  <sheetData>
    <row r="1" spans="1:21" ht="67.5" customHeight="1" x14ac:dyDescent="0.15">
      <c r="A1" s="190" t="s">
        <v>10</v>
      </c>
      <c r="B1" s="190"/>
      <c r="C1" s="190"/>
      <c r="D1" s="190"/>
      <c r="E1" s="190"/>
      <c r="F1" s="190"/>
      <c r="G1" s="190"/>
      <c r="H1" s="190"/>
      <c r="I1" s="190"/>
      <c r="J1" s="4"/>
      <c r="K1" s="4"/>
      <c r="L1" s="4"/>
      <c r="M1" s="4"/>
      <c r="N1" s="4"/>
      <c r="O1" s="4"/>
      <c r="P1" s="4"/>
      <c r="Q1" s="4"/>
      <c r="R1" s="4"/>
      <c r="S1" s="4"/>
    </row>
    <row r="2" spans="1:21" ht="35.25" customHeight="1" x14ac:dyDescent="0.15">
      <c r="A2" s="2">
        <v>1</v>
      </c>
      <c r="B2" s="1" t="s">
        <v>70</v>
      </c>
    </row>
    <row r="3" spans="1:21" ht="20.25" customHeight="1" x14ac:dyDescent="0.15">
      <c r="U3" s="1" t="e">
        <f>入力シート!$C7&amp;入力シート!$D7</f>
        <v>#REF!</v>
      </c>
    </row>
    <row r="4" spans="1:21" ht="20.25" customHeight="1" x14ac:dyDescent="0.15">
      <c r="C4" s="1" t="s">
        <v>7</v>
      </c>
      <c r="D4" s="193" t="s">
        <v>117</v>
      </c>
      <c r="E4" s="193"/>
      <c r="F4" s="193"/>
      <c r="G4" s="193"/>
      <c r="H4" s="193"/>
      <c r="I4" s="193"/>
      <c r="J4" s="7"/>
      <c r="K4" s="7"/>
      <c r="L4" s="7"/>
      <c r="M4" s="7"/>
      <c r="N4" s="7"/>
      <c r="O4" s="7"/>
      <c r="P4" s="7"/>
      <c r="R4" s="7"/>
      <c r="U4" s="1" t="e">
        <f>入力シート!$C8&amp;入力シート!$D8</f>
        <v>#REF!</v>
      </c>
    </row>
    <row r="5" spans="1:21" ht="20.25" customHeight="1" x14ac:dyDescent="0.15">
      <c r="U5" s="1" t="e">
        <f>入力シート!$C9&amp;入力シート!$D9</f>
        <v>#REF!</v>
      </c>
    </row>
    <row r="6" spans="1:21" ht="20.25" customHeight="1" x14ac:dyDescent="0.15">
      <c r="C6" s="1" t="s">
        <v>8</v>
      </c>
      <c r="D6" s="193" t="s">
        <v>117</v>
      </c>
      <c r="E6" s="193"/>
      <c r="F6" s="193"/>
      <c r="G6" s="193"/>
      <c r="H6" s="193"/>
      <c r="I6" s="193"/>
      <c r="U6" s="1" t="e">
        <f>入力シート!$C10&amp;入力シート!$D10</f>
        <v>#REF!</v>
      </c>
    </row>
    <row r="7" spans="1:21" ht="27" customHeight="1" x14ac:dyDescent="0.15">
      <c r="U7" s="1" t="e">
        <f>入力シート!$C11&amp;入力シート!$D11</f>
        <v>#REF!</v>
      </c>
    </row>
    <row r="8" spans="1:21" ht="33.75" customHeight="1" x14ac:dyDescent="0.15">
      <c r="A8" s="2">
        <v>2</v>
      </c>
      <c r="B8" s="1" t="s">
        <v>71</v>
      </c>
      <c r="U8" s="1" t="e">
        <f>入力シート!$C12&amp;入力シート!$D12</f>
        <v>#REF!</v>
      </c>
    </row>
    <row r="9" spans="1:21" ht="24" customHeight="1" x14ac:dyDescent="0.15">
      <c r="A9" s="191" t="s">
        <v>9</v>
      </c>
      <c r="B9" s="191"/>
      <c r="C9" s="191"/>
      <c r="D9" s="191"/>
      <c r="E9" s="191"/>
      <c r="F9" s="191"/>
      <c r="G9" s="191"/>
      <c r="H9" s="191"/>
      <c r="I9" s="191"/>
      <c r="J9" s="3"/>
      <c r="K9" s="3"/>
      <c r="L9" s="3"/>
      <c r="M9" s="3"/>
      <c r="N9" s="3"/>
      <c r="O9" s="3"/>
      <c r="P9" s="3"/>
      <c r="Q9" s="3"/>
      <c r="R9" s="3"/>
      <c r="S9" s="3"/>
      <c r="U9" s="1" t="str">
        <f>入力シート!$C13&amp;入力シート!$D13</f>
        <v/>
      </c>
    </row>
    <row r="10" spans="1:21" ht="27.75" customHeight="1" x14ac:dyDescent="0.15">
      <c r="U10" s="1" t="str">
        <f>入力シート!$C14&amp;入力シート!$D14</f>
        <v/>
      </c>
    </row>
    <row r="11" spans="1:21" ht="32.25" customHeight="1" x14ac:dyDescent="0.15">
      <c r="A11" s="189" t="s">
        <v>73</v>
      </c>
      <c r="B11" s="189"/>
      <c r="C11" s="189"/>
      <c r="D11" s="189"/>
      <c r="E11" s="189"/>
      <c r="F11" s="189"/>
      <c r="G11" s="189"/>
      <c r="H11" s="189"/>
      <c r="I11" s="189"/>
      <c r="J11" s="189"/>
      <c r="K11" s="5"/>
      <c r="L11" s="5"/>
      <c r="M11" s="5"/>
      <c r="N11" s="5"/>
      <c r="O11" s="5"/>
      <c r="P11" s="5"/>
      <c r="Q11" s="5"/>
      <c r="R11" s="5"/>
      <c r="S11" s="5"/>
      <c r="U11" s="1" t="str">
        <f>入力シート!$C15&amp;入力シート!$D15</f>
        <v/>
      </c>
    </row>
    <row r="12" spans="1:21" ht="32.25" customHeight="1" x14ac:dyDescent="0.15">
      <c r="A12" s="189" t="s">
        <v>79</v>
      </c>
      <c r="B12" s="189"/>
      <c r="C12" s="189"/>
      <c r="D12" s="189"/>
      <c r="E12" s="189"/>
      <c r="F12" s="189"/>
      <c r="G12" s="189"/>
      <c r="H12" s="189"/>
      <c r="I12" s="189"/>
      <c r="J12" s="189"/>
      <c r="U12" s="1" t="str">
        <f>入力シート!$C16&amp;入力シート!$D16</f>
        <v/>
      </c>
    </row>
    <row r="13" spans="1:21" ht="22.5" customHeight="1" x14ac:dyDescent="0.15">
      <c r="U13" s="1" t="str">
        <f>入力シート!$C17&amp;入力シート!$D17</f>
        <v/>
      </c>
    </row>
    <row r="14" spans="1:21" ht="27.75" customHeight="1" x14ac:dyDescent="0.15">
      <c r="B14" s="1" t="s">
        <v>95</v>
      </c>
      <c r="U14" s="1" t="str">
        <f>入力シート!$C18&amp;入力シート!$D18</f>
        <v/>
      </c>
    </row>
    <row r="15" spans="1:21" ht="27.75" customHeight="1" x14ac:dyDescent="0.15">
      <c r="U15" s="1" t="str">
        <f>入力シート!$C19&amp;入力シート!$D19</f>
        <v/>
      </c>
    </row>
    <row r="16" spans="1:21" ht="27.75" customHeight="1" x14ac:dyDescent="0.15">
      <c r="B16" s="3" t="s">
        <v>11</v>
      </c>
      <c r="C16" s="3" t="s">
        <v>13</v>
      </c>
      <c r="D16" s="188"/>
      <c r="E16" s="188"/>
      <c r="F16" s="188"/>
      <c r="G16" s="188"/>
      <c r="H16" s="188"/>
      <c r="U16" s="1" t="str">
        <f>入力シート!$C20&amp;入力シート!$D20</f>
        <v/>
      </c>
    </row>
    <row r="17" spans="2:21" ht="17.25" customHeight="1" x14ac:dyDescent="0.15">
      <c r="B17" s="3"/>
      <c r="C17" s="3"/>
      <c r="D17" s="27"/>
      <c r="E17" s="27"/>
      <c r="F17" s="27"/>
      <c r="G17" s="27"/>
      <c r="H17" s="27"/>
      <c r="U17" s="1" t="str">
        <f>入力シート!$C21&amp;入力シート!$D21</f>
        <v/>
      </c>
    </row>
    <row r="18" spans="2:21" ht="27.75" customHeight="1" x14ac:dyDescent="0.15">
      <c r="B18" s="3"/>
      <c r="C18" s="3" t="s">
        <v>14</v>
      </c>
      <c r="D18" s="188"/>
      <c r="E18" s="188"/>
      <c r="F18" s="188"/>
      <c r="G18" s="188"/>
      <c r="H18" s="188"/>
      <c r="I18" s="3" t="s">
        <v>0</v>
      </c>
      <c r="J18" s="3"/>
      <c r="K18" s="3"/>
      <c r="L18" s="3"/>
      <c r="M18" s="3"/>
      <c r="N18" s="3"/>
      <c r="O18" s="3"/>
      <c r="P18" s="3"/>
      <c r="Q18" s="3"/>
      <c r="R18" s="3"/>
    </row>
    <row r="19" spans="2:21" ht="19.5" customHeight="1" x14ac:dyDescent="0.15">
      <c r="B19" s="3"/>
      <c r="C19" s="3"/>
      <c r="D19" s="27"/>
      <c r="E19" s="27"/>
      <c r="F19" s="27"/>
      <c r="G19" s="27"/>
      <c r="H19" s="27"/>
      <c r="I19" s="3"/>
      <c r="J19" s="3"/>
      <c r="K19" s="3"/>
      <c r="L19" s="3"/>
      <c r="M19" s="3"/>
      <c r="N19" s="3"/>
      <c r="O19" s="3"/>
      <c r="P19" s="3"/>
      <c r="Q19" s="3"/>
      <c r="R19" s="3"/>
    </row>
    <row r="20" spans="2:21" ht="27.75" customHeight="1" x14ac:dyDescent="0.15">
      <c r="B20" s="3"/>
      <c r="C20" s="3" t="s">
        <v>13</v>
      </c>
      <c r="D20" s="188"/>
      <c r="E20" s="188"/>
      <c r="F20" s="188"/>
      <c r="G20" s="188"/>
      <c r="H20" s="188"/>
    </row>
    <row r="21" spans="2:21" ht="17.25" customHeight="1" x14ac:dyDescent="0.15">
      <c r="B21" s="3"/>
      <c r="C21" s="3"/>
      <c r="D21" s="27"/>
      <c r="E21" s="27"/>
      <c r="F21" s="27"/>
      <c r="G21" s="27"/>
      <c r="H21" s="27"/>
    </row>
    <row r="22" spans="2:21" ht="27.75" customHeight="1" x14ac:dyDescent="0.15">
      <c r="B22" s="3"/>
      <c r="C22" s="3" t="s">
        <v>14</v>
      </c>
      <c r="D22" s="188"/>
      <c r="E22" s="188"/>
      <c r="F22" s="188"/>
      <c r="G22" s="188"/>
      <c r="H22" s="188"/>
      <c r="I22" s="3" t="s">
        <v>0</v>
      </c>
      <c r="J22" s="3"/>
      <c r="K22" s="3"/>
      <c r="L22" s="3"/>
      <c r="M22" s="3"/>
      <c r="N22" s="3"/>
      <c r="O22" s="3"/>
      <c r="P22" s="3"/>
      <c r="Q22" s="3"/>
      <c r="R22" s="3"/>
    </row>
    <row r="23" spans="2:21" ht="21" customHeight="1" x14ac:dyDescent="0.15">
      <c r="B23" s="3"/>
      <c r="C23" s="3"/>
      <c r="D23" s="27"/>
      <c r="E23" s="27"/>
      <c r="F23" s="27"/>
      <c r="G23" s="27"/>
      <c r="H23" s="27"/>
      <c r="I23" s="3"/>
      <c r="J23" s="3"/>
      <c r="K23" s="3"/>
      <c r="L23" s="3"/>
      <c r="M23" s="3"/>
      <c r="N23" s="3"/>
      <c r="O23" s="3"/>
      <c r="P23" s="3"/>
      <c r="Q23" s="3"/>
      <c r="R23" s="3"/>
    </row>
    <row r="24" spans="2:21" ht="27.75" customHeight="1" x14ac:dyDescent="0.15">
      <c r="B24" s="3" t="s">
        <v>12</v>
      </c>
      <c r="C24" s="3" t="s">
        <v>13</v>
      </c>
      <c r="D24" s="188"/>
      <c r="E24" s="188"/>
      <c r="F24" s="188"/>
      <c r="G24" s="188"/>
      <c r="H24" s="188"/>
      <c r="I24" s="3"/>
      <c r="J24" s="3"/>
      <c r="K24" s="3"/>
      <c r="L24" s="3"/>
      <c r="M24" s="3"/>
      <c r="N24" s="3"/>
      <c r="O24" s="3"/>
      <c r="P24" s="3"/>
      <c r="Q24" s="3"/>
      <c r="R24" s="3"/>
    </row>
    <row r="25" spans="2:21" ht="17.25" customHeight="1" x14ac:dyDescent="0.15">
      <c r="C25" s="3"/>
      <c r="D25" s="27"/>
      <c r="E25" s="27"/>
      <c r="F25" s="27"/>
      <c r="G25" s="27"/>
      <c r="H25" s="27"/>
      <c r="I25" s="3"/>
      <c r="J25" s="3"/>
      <c r="K25" s="3"/>
      <c r="L25" s="3"/>
      <c r="M25" s="3"/>
      <c r="N25" s="3"/>
      <c r="O25" s="3"/>
      <c r="P25" s="3"/>
      <c r="Q25" s="3"/>
      <c r="R25" s="3"/>
    </row>
    <row r="26" spans="2:21" ht="27.75" customHeight="1" x14ac:dyDescent="0.15">
      <c r="C26" s="3" t="s">
        <v>14</v>
      </c>
      <c r="D26" s="188"/>
      <c r="E26" s="188"/>
      <c r="F26" s="188"/>
      <c r="G26" s="188"/>
      <c r="H26" s="188"/>
      <c r="I26" s="3" t="s">
        <v>0</v>
      </c>
      <c r="J26" s="3"/>
      <c r="K26" s="3"/>
      <c r="L26" s="3"/>
      <c r="M26" s="3"/>
      <c r="N26" s="3"/>
      <c r="O26" s="3"/>
      <c r="P26" s="3"/>
      <c r="Q26" s="3"/>
      <c r="R26" s="3"/>
    </row>
    <row r="27" spans="2:21" ht="19.5" customHeight="1" x14ac:dyDescent="0.15">
      <c r="C27" s="3"/>
      <c r="D27" s="27"/>
      <c r="E27" s="27"/>
      <c r="F27" s="27"/>
      <c r="G27" s="27"/>
      <c r="H27" s="27"/>
      <c r="I27" s="3"/>
      <c r="J27" s="3"/>
      <c r="K27" s="3"/>
      <c r="L27" s="3"/>
      <c r="M27" s="3"/>
      <c r="N27" s="3"/>
      <c r="O27" s="3"/>
      <c r="P27" s="3"/>
      <c r="Q27" s="3"/>
      <c r="R27" s="3"/>
    </row>
    <row r="28" spans="2:21" ht="27.75" customHeight="1" x14ac:dyDescent="0.15">
      <c r="B28" s="3"/>
      <c r="C28" s="3" t="s">
        <v>13</v>
      </c>
      <c r="D28" s="188"/>
      <c r="E28" s="188"/>
      <c r="F28" s="188"/>
      <c r="G28" s="188"/>
      <c r="H28" s="188"/>
      <c r="I28" s="3"/>
      <c r="J28" s="3"/>
      <c r="K28" s="3"/>
      <c r="L28" s="3"/>
      <c r="M28" s="3"/>
      <c r="N28" s="3"/>
      <c r="O28" s="3"/>
      <c r="P28" s="3"/>
      <c r="Q28" s="3"/>
      <c r="R28" s="3"/>
    </row>
    <row r="29" spans="2:21" ht="17.25" customHeight="1" x14ac:dyDescent="0.15">
      <c r="C29" s="3"/>
      <c r="D29" s="27"/>
      <c r="E29" s="27"/>
      <c r="F29" s="27"/>
      <c r="G29" s="27"/>
      <c r="H29" s="27"/>
      <c r="I29" s="3"/>
      <c r="J29" s="3"/>
      <c r="K29" s="3"/>
      <c r="L29" s="3"/>
      <c r="M29" s="3"/>
      <c r="N29" s="3"/>
      <c r="O29" s="3"/>
      <c r="P29" s="3"/>
      <c r="Q29" s="3"/>
      <c r="R29" s="3"/>
    </row>
    <row r="30" spans="2:21" ht="27.75" customHeight="1" x14ac:dyDescent="0.15">
      <c r="C30" s="3" t="s">
        <v>14</v>
      </c>
      <c r="D30" s="188"/>
      <c r="E30" s="188"/>
      <c r="F30" s="188"/>
      <c r="G30" s="188"/>
      <c r="H30" s="188"/>
      <c r="I30" s="3" t="s">
        <v>0</v>
      </c>
      <c r="J30" s="3"/>
      <c r="K30" s="3"/>
      <c r="L30" s="3"/>
      <c r="M30" s="3"/>
      <c r="N30" s="3"/>
      <c r="O30" s="3"/>
      <c r="P30" s="3"/>
      <c r="Q30" s="3"/>
      <c r="R30" s="3"/>
    </row>
  </sheetData>
  <mergeCells count="14">
    <mergeCell ref="D30:H30"/>
    <mergeCell ref="D18:H18"/>
    <mergeCell ref="D24:H24"/>
    <mergeCell ref="D26:H26"/>
    <mergeCell ref="D20:H20"/>
    <mergeCell ref="D22:H22"/>
    <mergeCell ref="A9:I9"/>
    <mergeCell ref="D16:H16"/>
    <mergeCell ref="A1:I1"/>
    <mergeCell ref="D28:H28"/>
    <mergeCell ref="D4:I4"/>
    <mergeCell ref="D6:I6"/>
    <mergeCell ref="A11:J11"/>
    <mergeCell ref="A12:J12"/>
  </mergeCells>
  <phoneticPr fontId="2"/>
  <dataValidations count="1">
    <dataValidation type="list" allowBlank="1" showInputMessage="1" sqref="D4:I4 D6:I6" xr:uid="{A738A4CE-5DAC-4F71-AA1A-45DE9B7B7DF4}">
      <formula1>$U$3:$U$17</formula1>
    </dataValidation>
  </dataValidations>
  <pageMargins left="1.1811023622047245" right="0.78740157480314965" top="0.78740157480314965" bottom="0.78740157480314965" header="0.51181102362204722" footer="0.51181102362204722"/>
  <pageSetup paperSize="8" orientation="landscape" horizontalDpi="4294967292" verticalDpi="120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38"/>
  <sheetViews>
    <sheetView topLeftCell="A13" workbookViewId="0">
      <selection activeCell="D34" sqref="D16:H34"/>
    </sheetView>
  </sheetViews>
  <sheetFormatPr defaultRowHeight="13.5" x14ac:dyDescent="0.15"/>
  <cols>
    <col min="1" max="1" width="3.25" style="1" customWidth="1"/>
    <col min="2" max="2" width="7.375" style="1" customWidth="1"/>
    <col min="3" max="3" width="10.375" style="1" customWidth="1"/>
    <col min="4" max="16384" width="9" style="1"/>
  </cols>
  <sheetData>
    <row r="1" spans="1:21" ht="53.25" customHeight="1" x14ac:dyDescent="0.15">
      <c r="A1" s="190" t="s">
        <v>10</v>
      </c>
      <c r="B1" s="190"/>
      <c r="C1" s="190"/>
      <c r="D1" s="190"/>
      <c r="E1" s="190"/>
      <c r="F1" s="190"/>
      <c r="G1" s="190"/>
      <c r="H1" s="190"/>
      <c r="I1" s="190"/>
      <c r="J1" s="190"/>
      <c r="K1" s="4"/>
      <c r="L1" s="4"/>
      <c r="M1" s="4"/>
      <c r="N1" s="4"/>
      <c r="O1" s="4"/>
      <c r="P1" s="4"/>
      <c r="Q1" s="4"/>
      <c r="R1" s="4"/>
      <c r="S1" s="4"/>
    </row>
    <row r="2" spans="1:21" ht="35.25" customHeight="1" x14ac:dyDescent="0.15">
      <c r="A2" s="2">
        <v>1</v>
      </c>
      <c r="B2" s="1" t="s">
        <v>70</v>
      </c>
    </row>
    <row r="3" spans="1:21" ht="20.25" customHeight="1" x14ac:dyDescent="0.15">
      <c r="U3" s="1" t="e">
        <f>入力シート!$C7&amp;入力シート!$D7</f>
        <v>#REF!</v>
      </c>
    </row>
    <row r="4" spans="1:21" ht="20.25" customHeight="1" x14ac:dyDescent="0.15">
      <c r="C4" s="1" t="s">
        <v>7</v>
      </c>
      <c r="D4" s="193" t="s">
        <v>117</v>
      </c>
      <c r="E4" s="193"/>
      <c r="F4" s="193"/>
      <c r="G4" s="193"/>
      <c r="H4" s="193"/>
      <c r="I4" s="193"/>
      <c r="J4" s="7"/>
      <c r="K4" s="7"/>
      <c r="L4" s="7"/>
      <c r="M4" s="7"/>
      <c r="N4" s="7"/>
      <c r="O4" s="7"/>
      <c r="P4" s="7"/>
      <c r="R4" s="7"/>
      <c r="U4" s="1" t="e">
        <f>入力シート!$C8&amp;入力シート!$D8</f>
        <v>#REF!</v>
      </c>
    </row>
    <row r="5" spans="1:21" ht="20.25" customHeight="1" x14ac:dyDescent="0.15">
      <c r="U5" s="1" t="e">
        <f>入力シート!$C9&amp;入力シート!$D9</f>
        <v>#REF!</v>
      </c>
    </row>
    <row r="6" spans="1:21" ht="20.25" customHeight="1" x14ac:dyDescent="0.15">
      <c r="C6" s="1" t="s">
        <v>8</v>
      </c>
      <c r="D6" s="193" t="s">
        <v>117</v>
      </c>
      <c r="E6" s="193"/>
      <c r="F6" s="193"/>
      <c r="G6" s="193"/>
      <c r="H6" s="193"/>
      <c r="I6" s="193"/>
      <c r="U6" s="1" t="e">
        <f>入力シート!$C10&amp;入力シート!$D10</f>
        <v>#REF!</v>
      </c>
    </row>
    <row r="7" spans="1:21" ht="20.25" customHeight="1" x14ac:dyDescent="0.15">
      <c r="U7" s="1" t="e">
        <f>入力シート!$C11&amp;入力シート!$D11</f>
        <v>#REF!</v>
      </c>
    </row>
    <row r="8" spans="1:21" ht="34.5" customHeight="1" x14ac:dyDescent="0.15">
      <c r="A8" s="2">
        <v>2</v>
      </c>
      <c r="B8" s="1" t="s">
        <v>71</v>
      </c>
      <c r="U8" s="1" t="e">
        <f>入力シート!$C12&amp;入力シート!$D12</f>
        <v>#REF!</v>
      </c>
    </row>
    <row r="9" spans="1:21" ht="27" customHeight="1" x14ac:dyDescent="0.15">
      <c r="A9" s="191" t="s">
        <v>9</v>
      </c>
      <c r="B9" s="191"/>
      <c r="C9" s="191"/>
      <c r="D9" s="191"/>
      <c r="E9" s="191"/>
      <c r="F9" s="191"/>
      <c r="G9" s="191"/>
      <c r="H9" s="191"/>
      <c r="I9" s="191"/>
      <c r="J9" s="3"/>
      <c r="K9" s="3"/>
      <c r="L9" s="3"/>
      <c r="M9" s="3"/>
      <c r="N9" s="3"/>
      <c r="O9" s="3"/>
      <c r="P9" s="3"/>
      <c r="Q9" s="3"/>
      <c r="R9" s="3"/>
      <c r="S9" s="3"/>
      <c r="U9" s="1" t="str">
        <f>入力シート!$C13&amp;入力シート!$D13</f>
        <v/>
      </c>
    </row>
    <row r="10" spans="1:21" ht="14.25" customHeight="1" x14ac:dyDescent="0.15">
      <c r="U10" s="1" t="str">
        <f>入力シート!$C14&amp;入力シート!$D14</f>
        <v/>
      </c>
    </row>
    <row r="11" spans="1:21" ht="30" customHeight="1" x14ac:dyDescent="0.15">
      <c r="A11" s="189" t="s">
        <v>73</v>
      </c>
      <c r="B11" s="189"/>
      <c r="C11" s="189"/>
      <c r="D11" s="189"/>
      <c r="E11" s="189"/>
      <c r="F11" s="189"/>
      <c r="G11" s="189"/>
      <c r="H11" s="189"/>
      <c r="I11" s="189"/>
      <c r="J11" s="189"/>
      <c r="K11" s="5"/>
      <c r="L11" s="5"/>
      <c r="M11" s="5"/>
      <c r="N11" s="5"/>
      <c r="O11" s="5"/>
      <c r="P11" s="5"/>
      <c r="Q11" s="5"/>
      <c r="R11" s="5"/>
      <c r="S11" s="5"/>
      <c r="U11" s="1" t="str">
        <f>入力シート!$C15&amp;入力シート!$D15</f>
        <v/>
      </c>
    </row>
    <row r="12" spans="1:21" ht="30" customHeight="1" x14ac:dyDescent="0.15">
      <c r="A12" s="189" t="s">
        <v>79</v>
      </c>
      <c r="B12" s="189"/>
      <c r="C12" s="189"/>
      <c r="D12" s="189"/>
      <c r="E12" s="189"/>
      <c r="F12" s="189"/>
      <c r="G12" s="189"/>
      <c r="H12" s="189"/>
      <c r="I12" s="189"/>
      <c r="J12" s="189"/>
      <c r="U12" s="1" t="str">
        <f>入力シート!$C16&amp;入力シート!$D16</f>
        <v/>
      </c>
    </row>
    <row r="13" spans="1:21" ht="14.25" customHeight="1" x14ac:dyDescent="0.15">
      <c r="U13" s="1" t="str">
        <f>入力シート!$C17&amp;入力シート!$D17</f>
        <v/>
      </c>
    </row>
    <row r="14" spans="1:21" ht="27.75" customHeight="1" x14ac:dyDescent="0.15">
      <c r="B14" s="1" t="s">
        <v>95</v>
      </c>
      <c r="U14" s="1" t="str">
        <f>入力シート!$C18&amp;入力シート!$D18</f>
        <v/>
      </c>
    </row>
    <row r="15" spans="1:21" ht="15" customHeight="1" x14ac:dyDescent="0.15">
      <c r="U15" s="1" t="str">
        <f>入力シート!$C19&amp;入力シート!$D19</f>
        <v/>
      </c>
    </row>
    <row r="16" spans="1:21" ht="25.5" customHeight="1" x14ac:dyDescent="0.15">
      <c r="B16" s="3" t="s">
        <v>11</v>
      </c>
      <c r="C16" s="3" t="s">
        <v>13</v>
      </c>
      <c r="D16" s="196"/>
      <c r="E16" s="196"/>
      <c r="F16" s="196"/>
      <c r="G16" s="196"/>
      <c r="H16" s="196"/>
      <c r="I16" s="3"/>
      <c r="J16" s="3"/>
      <c r="K16" s="3"/>
      <c r="L16" s="3"/>
      <c r="M16" s="3"/>
      <c r="N16" s="3"/>
      <c r="O16" s="3"/>
      <c r="P16" s="3"/>
      <c r="Q16" s="3"/>
      <c r="R16" s="3"/>
      <c r="U16" s="1" t="str">
        <f>入力シート!$C20&amp;入力シート!$D20</f>
        <v/>
      </c>
    </row>
    <row r="17" spans="2:21" ht="13.5" customHeight="1" x14ac:dyDescent="0.15">
      <c r="C17" s="3"/>
      <c r="I17" s="3"/>
      <c r="J17" s="3"/>
      <c r="K17" s="3"/>
      <c r="L17" s="3"/>
      <c r="M17" s="3"/>
      <c r="N17" s="3"/>
      <c r="O17" s="3"/>
      <c r="P17" s="3"/>
      <c r="Q17" s="3"/>
      <c r="R17" s="3"/>
      <c r="U17" s="1" t="str">
        <f>入力シート!$C21&amp;入力シート!$D21</f>
        <v/>
      </c>
    </row>
    <row r="18" spans="2:21" ht="25.5" customHeight="1" x14ac:dyDescent="0.15">
      <c r="C18" s="3" t="s">
        <v>14</v>
      </c>
      <c r="D18" s="196"/>
      <c r="E18" s="196"/>
      <c r="F18" s="196"/>
      <c r="G18" s="196"/>
      <c r="H18" s="196"/>
      <c r="I18" s="3" t="s">
        <v>0</v>
      </c>
      <c r="J18" s="3"/>
      <c r="K18" s="3"/>
      <c r="L18" s="3"/>
      <c r="M18" s="3"/>
      <c r="N18" s="3"/>
      <c r="O18" s="3"/>
      <c r="P18" s="3"/>
      <c r="Q18" s="3"/>
      <c r="R18" s="3"/>
    </row>
    <row r="19" spans="2:21" ht="16.5" customHeight="1" x14ac:dyDescent="0.15">
      <c r="B19" s="3"/>
      <c r="C19" s="3"/>
      <c r="I19" s="3"/>
      <c r="J19" s="3"/>
      <c r="K19" s="3"/>
      <c r="L19" s="3"/>
      <c r="M19" s="3"/>
      <c r="N19" s="3"/>
      <c r="O19" s="3"/>
      <c r="P19" s="3"/>
      <c r="Q19" s="3"/>
      <c r="R19" s="3"/>
    </row>
    <row r="20" spans="2:21" ht="25.5" customHeight="1" x14ac:dyDescent="0.15">
      <c r="B20" s="3"/>
      <c r="C20" s="3" t="s">
        <v>13</v>
      </c>
      <c r="D20" s="196"/>
      <c r="E20" s="196"/>
      <c r="F20" s="196"/>
      <c r="G20" s="196"/>
      <c r="H20" s="196"/>
      <c r="I20" s="3"/>
      <c r="J20" s="3"/>
      <c r="K20" s="3"/>
      <c r="L20" s="3"/>
      <c r="M20" s="3"/>
      <c r="N20" s="3"/>
      <c r="O20" s="3"/>
      <c r="P20" s="3"/>
      <c r="Q20" s="3"/>
      <c r="R20" s="3"/>
    </row>
    <row r="21" spans="2:21" ht="13.5" customHeight="1" x14ac:dyDescent="0.15">
      <c r="C21" s="3"/>
      <c r="I21" s="3"/>
      <c r="J21" s="3"/>
      <c r="K21" s="3"/>
      <c r="L21" s="3"/>
      <c r="M21" s="3"/>
      <c r="N21" s="3"/>
      <c r="O21" s="3"/>
      <c r="P21" s="3"/>
      <c r="Q21" s="3"/>
      <c r="R21" s="3"/>
    </row>
    <row r="22" spans="2:21" ht="25.5" customHeight="1" x14ac:dyDescent="0.15">
      <c r="C22" s="3" t="s">
        <v>14</v>
      </c>
      <c r="D22" s="196"/>
      <c r="E22" s="196"/>
      <c r="F22" s="196"/>
      <c r="G22" s="196"/>
      <c r="H22" s="196"/>
      <c r="I22" s="3" t="s">
        <v>0</v>
      </c>
      <c r="J22" s="3"/>
      <c r="K22" s="3"/>
      <c r="L22" s="3"/>
      <c r="M22" s="3"/>
      <c r="N22" s="3"/>
      <c r="O22" s="3"/>
      <c r="P22" s="3"/>
      <c r="Q22" s="3"/>
      <c r="R22" s="3"/>
    </row>
    <row r="23" spans="2:21" ht="16.5" customHeight="1" x14ac:dyDescent="0.15">
      <c r="B23" s="3"/>
      <c r="C23" s="3"/>
      <c r="I23" s="3"/>
      <c r="J23" s="3"/>
      <c r="K23" s="3"/>
      <c r="L23" s="3"/>
      <c r="M23" s="3"/>
      <c r="N23" s="3"/>
      <c r="O23" s="3"/>
      <c r="P23" s="3"/>
      <c r="Q23" s="3"/>
      <c r="R23" s="3"/>
    </row>
    <row r="24" spans="2:21" ht="25.5" customHeight="1" x14ac:dyDescent="0.15">
      <c r="B24" s="3"/>
      <c r="C24" s="3" t="s">
        <v>13</v>
      </c>
      <c r="D24" s="196"/>
      <c r="E24" s="196"/>
      <c r="F24" s="196"/>
      <c r="G24" s="196"/>
      <c r="H24" s="196"/>
      <c r="I24" s="3"/>
      <c r="J24" s="3"/>
      <c r="K24" s="3"/>
      <c r="L24" s="3"/>
      <c r="M24" s="3"/>
      <c r="N24" s="3"/>
      <c r="O24" s="3"/>
      <c r="P24" s="3"/>
      <c r="Q24" s="3"/>
      <c r="R24" s="3"/>
    </row>
    <row r="25" spans="2:21" ht="13.5" customHeight="1" x14ac:dyDescent="0.15">
      <c r="C25" s="3"/>
      <c r="I25" s="3"/>
      <c r="J25" s="3"/>
      <c r="K25" s="3"/>
      <c r="L25" s="3"/>
      <c r="M25" s="3"/>
      <c r="N25" s="3"/>
      <c r="O25" s="3"/>
      <c r="P25" s="3"/>
      <c r="Q25" s="3"/>
      <c r="R25" s="3"/>
    </row>
    <row r="26" spans="2:21" ht="25.5" customHeight="1" x14ac:dyDescent="0.15">
      <c r="C26" s="3" t="s">
        <v>14</v>
      </c>
      <c r="D26" s="196"/>
      <c r="E26" s="196"/>
      <c r="F26" s="196"/>
      <c r="G26" s="196"/>
      <c r="H26" s="196"/>
      <c r="I26" s="3" t="s">
        <v>0</v>
      </c>
      <c r="J26" s="3"/>
      <c r="K26" s="3"/>
      <c r="L26" s="3"/>
      <c r="M26" s="3"/>
      <c r="N26" s="3"/>
      <c r="O26" s="3"/>
      <c r="P26" s="3"/>
      <c r="Q26" s="3"/>
      <c r="R26" s="3"/>
    </row>
    <row r="27" spans="2:21" ht="16.5" customHeight="1" x14ac:dyDescent="0.15">
      <c r="B27" s="3"/>
      <c r="C27" s="3"/>
      <c r="I27" s="3"/>
      <c r="J27" s="3"/>
      <c r="K27" s="3"/>
      <c r="L27" s="3"/>
      <c r="M27" s="3"/>
      <c r="N27" s="3"/>
      <c r="O27" s="3"/>
      <c r="P27" s="3"/>
      <c r="Q27" s="3"/>
      <c r="R27" s="3"/>
    </row>
    <row r="28" spans="2:21" ht="25.5" customHeight="1" x14ac:dyDescent="0.15">
      <c r="B28" s="3" t="s">
        <v>12</v>
      </c>
      <c r="C28" s="3" t="s">
        <v>13</v>
      </c>
      <c r="D28" s="196"/>
      <c r="E28" s="196"/>
      <c r="F28" s="196"/>
      <c r="G28" s="196"/>
      <c r="H28" s="196"/>
      <c r="I28" s="3"/>
      <c r="J28" s="3"/>
      <c r="K28" s="3"/>
      <c r="L28" s="3"/>
      <c r="M28" s="3"/>
      <c r="N28" s="3"/>
      <c r="O28" s="3"/>
      <c r="P28" s="3"/>
      <c r="Q28" s="3"/>
      <c r="R28" s="3"/>
    </row>
    <row r="29" spans="2:21" ht="13.5" customHeight="1" x14ac:dyDescent="0.15">
      <c r="C29" s="3"/>
      <c r="I29" s="3"/>
      <c r="J29" s="3"/>
      <c r="K29" s="3"/>
      <c r="L29" s="3"/>
      <c r="M29" s="3"/>
      <c r="N29" s="3"/>
      <c r="O29" s="3"/>
      <c r="P29" s="3"/>
      <c r="Q29" s="3"/>
      <c r="R29" s="3"/>
    </row>
    <row r="30" spans="2:21" ht="25.5" customHeight="1" x14ac:dyDescent="0.15">
      <c r="C30" s="3" t="s">
        <v>14</v>
      </c>
      <c r="D30" s="196"/>
      <c r="E30" s="196"/>
      <c r="F30" s="196"/>
      <c r="G30" s="196"/>
      <c r="H30" s="196"/>
      <c r="I30" s="3" t="s">
        <v>0</v>
      </c>
      <c r="J30" s="3"/>
      <c r="K30" s="3"/>
      <c r="L30" s="3"/>
      <c r="M30" s="3"/>
      <c r="N30" s="3"/>
      <c r="O30" s="3"/>
      <c r="P30" s="3"/>
      <c r="Q30" s="3"/>
      <c r="R30" s="3"/>
    </row>
    <row r="31" spans="2:21" ht="16.5" customHeight="1" x14ac:dyDescent="0.15">
      <c r="B31" s="3"/>
      <c r="C31" s="3"/>
      <c r="I31" s="3"/>
      <c r="J31" s="3"/>
      <c r="K31" s="3"/>
      <c r="L31" s="3"/>
      <c r="M31" s="3"/>
      <c r="N31" s="3"/>
      <c r="O31" s="3"/>
      <c r="P31" s="3"/>
      <c r="Q31" s="3"/>
      <c r="R31" s="3"/>
    </row>
    <row r="32" spans="2:21" ht="25.5" customHeight="1" x14ac:dyDescent="0.15">
      <c r="B32" s="3"/>
      <c r="C32" s="3" t="s">
        <v>13</v>
      </c>
      <c r="D32" s="196"/>
      <c r="E32" s="196"/>
      <c r="F32" s="196"/>
      <c r="G32" s="196"/>
      <c r="H32" s="196"/>
      <c r="I32" s="3"/>
      <c r="J32" s="3"/>
      <c r="K32" s="3"/>
      <c r="L32" s="3"/>
      <c r="M32" s="3"/>
      <c r="N32" s="3"/>
      <c r="O32" s="3"/>
      <c r="P32" s="3"/>
      <c r="Q32" s="3"/>
      <c r="R32" s="3"/>
    </row>
    <row r="33" spans="3:18" ht="13.5" customHeight="1" x14ac:dyDescent="0.15">
      <c r="C33" s="3"/>
      <c r="I33" s="3"/>
      <c r="J33" s="3"/>
      <c r="K33" s="3"/>
      <c r="L33" s="3"/>
      <c r="M33" s="3"/>
      <c r="N33" s="3"/>
      <c r="O33" s="3"/>
      <c r="P33" s="3"/>
      <c r="Q33" s="3"/>
      <c r="R33" s="3"/>
    </row>
    <row r="34" spans="3:18" ht="25.5" customHeight="1" x14ac:dyDescent="0.15">
      <c r="C34" s="3" t="s">
        <v>14</v>
      </c>
      <c r="D34" s="196"/>
      <c r="E34" s="196"/>
      <c r="F34" s="196"/>
      <c r="G34" s="196"/>
      <c r="H34" s="196"/>
      <c r="I34" s="3" t="s">
        <v>0</v>
      </c>
      <c r="J34" s="3"/>
      <c r="K34" s="3"/>
      <c r="L34" s="3"/>
      <c r="M34" s="3"/>
      <c r="N34" s="3"/>
      <c r="O34" s="3"/>
      <c r="P34" s="3"/>
      <c r="Q34" s="3"/>
      <c r="R34" s="3"/>
    </row>
    <row r="36" spans="3:18" ht="27.75" customHeight="1" x14ac:dyDescent="0.15">
      <c r="C36" s="3"/>
      <c r="I36" s="3"/>
      <c r="J36" s="3"/>
      <c r="K36" s="3"/>
      <c r="L36" s="3"/>
      <c r="M36" s="3"/>
      <c r="N36" s="3"/>
      <c r="O36" s="3"/>
      <c r="P36" s="3"/>
      <c r="Q36" s="3"/>
      <c r="R36" s="3"/>
    </row>
    <row r="37" spans="3:18" ht="27.75" customHeight="1" x14ac:dyDescent="0.15">
      <c r="C37" s="3"/>
      <c r="I37" s="3"/>
      <c r="J37" s="3"/>
      <c r="K37" s="3"/>
      <c r="L37" s="3"/>
      <c r="M37" s="3"/>
      <c r="N37" s="3"/>
      <c r="O37" s="3"/>
      <c r="P37" s="3"/>
      <c r="Q37" s="3"/>
      <c r="R37" s="3"/>
    </row>
    <row r="38" spans="3:18" ht="27.75" customHeight="1" x14ac:dyDescent="0.15">
      <c r="C38" s="3"/>
      <c r="I38" s="3"/>
      <c r="J38" s="3"/>
      <c r="K38" s="3"/>
      <c r="L38" s="3"/>
      <c r="M38" s="3"/>
      <c r="N38" s="3"/>
      <c r="O38" s="3"/>
      <c r="P38" s="3"/>
      <c r="Q38" s="3"/>
      <c r="R38" s="3"/>
    </row>
  </sheetData>
  <mergeCells count="16">
    <mergeCell ref="D34:H34"/>
    <mergeCell ref="A9:I9"/>
    <mergeCell ref="D16:H16"/>
    <mergeCell ref="D30:H30"/>
    <mergeCell ref="A11:J11"/>
    <mergeCell ref="A12:J12"/>
    <mergeCell ref="D28:H28"/>
    <mergeCell ref="D26:H26"/>
    <mergeCell ref="D20:H20"/>
    <mergeCell ref="D24:H24"/>
    <mergeCell ref="D22:H22"/>
    <mergeCell ref="D6:I6"/>
    <mergeCell ref="A1:J1"/>
    <mergeCell ref="D4:I4"/>
    <mergeCell ref="D18:H18"/>
    <mergeCell ref="D32:H32"/>
  </mergeCells>
  <phoneticPr fontId="2"/>
  <dataValidations count="1">
    <dataValidation type="list" allowBlank="1" showInputMessage="1" sqref="D4:I4 D6:I6" xr:uid="{D1D204BA-0DCD-4FC9-91EA-7CADF6237C79}">
      <formula1>$U$3:$U$17</formula1>
    </dataValidation>
  </dataValidations>
  <pageMargins left="1.19" right="0.78700000000000003" top="0.98399999999999999" bottom="0.98399999999999999" header="0.51200000000000001" footer="0.51200000000000001"/>
  <pageSetup paperSize="8" orientation="landscape" horizontalDpi="4294967292" verticalDpi="120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38"/>
  <sheetViews>
    <sheetView topLeftCell="A13" workbookViewId="0">
      <selection activeCell="D16" sqref="D16:H16"/>
    </sheetView>
  </sheetViews>
  <sheetFormatPr defaultRowHeight="13.5" x14ac:dyDescent="0.15"/>
  <cols>
    <col min="1" max="1" width="3.25" style="1" customWidth="1"/>
    <col min="2" max="2" width="7.375" style="1" customWidth="1"/>
    <col min="3" max="3" width="10.375" style="1" customWidth="1"/>
    <col min="4" max="16384" width="9" style="1"/>
  </cols>
  <sheetData>
    <row r="1" spans="1:21" ht="53.25" customHeight="1" x14ac:dyDescent="0.15">
      <c r="A1" s="190" t="s">
        <v>10</v>
      </c>
      <c r="B1" s="190"/>
      <c r="C1" s="190"/>
      <c r="D1" s="190"/>
      <c r="E1" s="190"/>
      <c r="F1" s="190"/>
      <c r="G1" s="190"/>
      <c r="H1" s="190"/>
      <c r="I1" s="190"/>
      <c r="J1" s="190"/>
      <c r="K1" s="4"/>
      <c r="L1" s="4"/>
      <c r="M1" s="4"/>
      <c r="N1" s="4"/>
      <c r="O1" s="4"/>
      <c r="P1" s="4"/>
      <c r="Q1" s="4"/>
      <c r="R1" s="4"/>
      <c r="S1" s="4"/>
    </row>
    <row r="2" spans="1:21" ht="35.25" customHeight="1" x14ac:dyDescent="0.15">
      <c r="A2" s="2">
        <v>1</v>
      </c>
      <c r="B2" s="1" t="s">
        <v>70</v>
      </c>
    </row>
    <row r="3" spans="1:21" ht="16.5" customHeight="1" x14ac:dyDescent="0.15">
      <c r="U3" s="1" t="e">
        <f>入力シート!$C7&amp;入力シート!$D7</f>
        <v>#REF!</v>
      </c>
    </row>
    <row r="4" spans="1:21" ht="18" customHeight="1" x14ac:dyDescent="0.15">
      <c r="C4" s="1" t="s">
        <v>7</v>
      </c>
      <c r="D4" s="193" t="s">
        <v>117</v>
      </c>
      <c r="E4" s="193"/>
      <c r="F4" s="193"/>
      <c r="G4" s="193"/>
      <c r="H4" s="193"/>
      <c r="I4" s="193"/>
      <c r="J4" s="7"/>
      <c r="K4" s="7"/>
      <c r="L4" s="7"/>
      <c r="M4" s="7"/>
      <c r="N4" s="7"/>
      <c r="O4" s="7"/>
      <c r="P4" s="7"/>
      <c r="R4" s="7"/>
      <c r="U4" s="1" t="e">
        <f>入力シート!$C8&amp;入力シート!$D8</f>
        <v>#REF!</v>
      </c>
    </row>
    <row r="5" spans="1:21" ht="18" customHeight="1" x14ac:dyDescent="0.15">
      <c r="U5" s="1" t="e">
        <f>入力シート!$C9&amp;入力シート!$D9</f>
        <v>#REF!</v>
      </c>
    </row>
    <row r="6" spans="1:21" ht="18" customHeight="1" x14ac:dyDescent="0.15">
      <c r="C6" s="1" t="s">
        <v>8</v>
      </c>
      <c r="D6" s="193" t="s">
        <v>117</v>
      </c>
      <c r="E6" s="193"/>
      <c r="F6" s="193"/>
      <c r="G6" s="193"/>
      <c r="H6" s="193"/>
      <c r="I6" s="193"/>
      <c r="U6" s="1" t="e">
        <f>入力シート!$C10&amp;入力シート!$D10</f>
        <v>#REF!</v>
      </c>
    </row>
    <row r="7" spans="1:21" ht="21" customHeight="1" x14ac:dyDescent="0.15">
      <c r="U7" s="1" t="e">
        <f>入力シート!$C11&amp;入力シート!$D11</f>
        <v>#REF!</v>
      </c>
    </row>
    <row r="8" spans="1:21" ht="29.25" customHeight="1" x14ac:dyDescent="0.15">
      <c r="A8" s="2">
        <v>2</v>
      </c>
      <c r="B8" s="1" t="s">
        <v>71</v>
      </c>
      <c r="U8" s="1" t="e">
        <f>入力シート!$C12&amp;入力シート!$D12</f>
        <v>#REF!</v>
      </c>
    </row>
    <row r="9" spans="1:21" ht="24" customHeight="1" x14ac:dyDescent="0.15">
      <c r="A9" s="191" t="s">
        <v>9</v>
      </c>
      <c r="B9" s="191"/>
      <c r="C9" s="191"/>
      <c r="D9" s="191"/>
      <c r="E9" s="191"/>
      <c r="F9" s="191"/>
      <c r="G9" s="191"/>
      <c r="H9" s="191"/>
      <c r="I9" s="191"/>
      <c r="J9" s="3"/>
      <c r="K9" s="3"/>
      <c r="L9" s="3"/>
      <c r="M9" s="3"/>
      <c r="N9" s="3"/>
      <c r="O9" s="3"/>
      <c r="P9" s="3"/>
      <c r="Q9" s="3"/>
      <c r="R9" s="3"/>
      <c r="S9" s="3"/>
      <c r="U9" s="1" t="str">
        <f>入力シート!$C13&amp;入力シート!$D13</f>
        <v/>
      </c>
    </row>
    <row r="10" spans="1:21" ht="14.25" customHeight="1" x14ac:dyDescent="0.15">
      <c r="U10" s="1" t="str">
        <f>入力シート!$C14&amp;入力シート!$D14</f>
        <v/>
      </c>
    </row>
    <row r="11" spans="1:21" ht="31.5" customHeight="1" x14ac:dyDescent="0.15">
      <c r="A11" s="189" t="s">
        <v>73</v>
      </c>
      <c r="B11" s="189"/>
      <c r="C11" s="189"/>
      <c r="D11" s="189"/>
      <c r="E11" s="189"/>
      <c r="F11" s="189"/>
      <c r="G11" s="189"/>
      <c r="H11" s="189"/>
      <c r="I11" s="189"/>
      <c r="J11" s="189"/>
      <c r="K11" s="5"/>
      <c r="L11" s="5"/>
      <c r="M11" s="5"/>
      <c r="N11" s="5"/>
      <c r="O11" s="5"/>
      <c r="P11" s="5"/>
      <c r="Q11" s="5"/>
      <c r="R11" s="5"/>
      <c r="S11" s="5"/>
      <c r="U11" s="1" t="str">
        <f>入力シート!$C15&amp;入力シート!$D15</f>
        <v/>
      </c>
    </row>
    <row r="12" spans="1:21" ht="31.5" customHeight="1" x14ac:dyDescent="0.15">
      <c r="A12" s="189" t="s">
        <v>79</v>
      </c>
      <c r="B12" s="189"/>
      <c r="C12" s="189"/>
      <c r="D12" s="189"/>
      <c r="E12" s="189"/>
      <c r="F12" s="189"/>
      <c r="G12" s="189"/>
      <c r="H12" s="189"/>
      <c r="I12" s="189"/>
      <c r="J12" s="189"/>
      <c r="U12" s="1" t="str">
        <f>入力シート!$C16&amp;入力シート!$D16</f>
        <v/>
      </c>
    </row>
    <row r="13" spans="1:21" ht="21" customHeight="1" x14ac:dyDescent="0.15">
      <c r="U13" s="1" t="str">
        <f>入力シート!$C17&amp;入力シート!$D17</f>
        <v/>
      </c>
    </row>
    <row r="14" spans="1:21" ht="27.75" customHeight="1" x14ac:dyDescent="0.15">
      <c r="B14" s="1" t="s">
        <v>95</v>
      </c>
      <c r="U14" s="1" t="str">
        <f>入力シート!$C18&amp;入力シート!$D18</f>
        <v/>
      </c>
    </row>
    <row r="15" spans="1:21" ht="15" customHeight="1" x14ac:dyDescent="0.15">
      <c r="U15" s="1" t="str">
        <f>入力シート!$C19&amp;入力シート!$D19</f>
        <v/>
      </c>
    </row>
    <row r="16" spans="1:21" ht="27.75" customHeight="1" x14ac:dyDescent="0.15">
      <c r="B16" s="3" t="s">
        <v>11</v>
      </c>
      <c r="C16" s="3" t="s">
        <v>13</v>
      </c>
      <c r="D16" s="196"/>
      <c r="E16" s="196"/>
      <c r="F16" s="196"/>
      <c r="G16" s="196"/>
      <c r="H16" s="196"/>
      <c r="I16" s="3"/>
      <c r="J16" s="3"/>
      <c r="K16" s="3"/>
      <c r="L16" s="3"/>
      <c r="M16" s="3"/>
      <c r="N16" s="3"/>
      <c r="O16" s="3"/>
      <c r="P16" s="3"/>
      <c r="Q16" s="3"/>
      <c r="R16" s="3"/>
      <c r="U16" s="1" t="str">
        <f>入力シート!$C20&amp;入力シート!$D20</f>
        <v/>
      </c>
    </row>
    <row r="17" spans="2:21" ht="18" customHeight="1" x14ac:dyDescent="0.15">
      <c r="C17" s="3"/>
      <c r="I17" s="3"/>
      <c r="J17" s="3"/>
      <c r="K17" s="3"/>
      <c r="L17" s="3"/>
      <c r="M17" s="3"/>
      <c r="N17" s="3"/>
      <c r="O17" s="3"/>
      <c r="P17" s="3"/>
      <c r="Q17" s="3"/>
      <c r="R17" s="3"/>
      <c r="U17" s="1" t="str">
        <f>入力シート!$C21&amp;入力シート!$D21</f>
        <v/>
      </c>
    </row>
    <row r="18" spans="2:21" ht="27.75" customHeight="1" x14ac:dyDescent="0.15">
      <c r="C18" s="3" t="s">
        <v>14</v>
      </c>
      <c r="D18" s="196"/>
      <c r="E18" s="196"/>
      <c r="F18" s="196"/>
      <c r="G18" s="196"/>
      <c r="H18" s="196"/>
      <c r="I18" s="3" t="s">
        <v>0</v>
      </c>
      <c r="J18" s="3"/>
      <c r="K18" s="3"/>
      <c r="L18" s="3"/>
      <c r="M18" s="3"/>
      <c r="N18" s="3"/>
      <c r="O18" s="3"/>
      <c r="P18" s="3"/>
      <c r="Q18" s="3"/>
      <c r="R18" s="3"/>
    </row>
    <row r="19" spans="2:21" ht="34.5" customHeight="1" x14ac:dyDescent="0.15">
      <c r="C19" s="3"/>
      <c r="I19" s="3"/>
      <c r="J19" s="3"/>
      <c r="K19" s="3"/>
      <c r="L19" s="3"/>
      <c r="M19" s="3"/>
      <c r="N19" s="3"/>
      <c r="O19" s="3"/>
      <c r="P19" s="3"/>
      <c r="Q19" s="3"/>
      <c r="R19" s="3"/>
    </row>
    <row r="20" spans="2:21" ht="27.75" customHeight="1" x14ac:dyDescent="0.15">
      <c r="B20" s="3" t="s">
        <v>12</v>
      </c>
      <c r="C20" s="3" t="s">
        <v>13</v>
      </c>
      <c r="D20" s="196"/>
      <c r="E20" s="196"/>
      <c r="F20" s="196"/>
      <c r="G20" s="196"/>
      <c r="H20" s="196"/>
      <c r="I20" s="3"/>
      <c r="J20" s="3"/>
      <c r="K20" s="3"/>
      <c r="L20" s="3"/>
      <c r="M20" s="3"/>
      <c r="N20" s="3"/>
      <c r="O20" s="3"/>
      <c r="P20" s="3"/>
      <c r="Q20" s="3"/>
      <c r="R20" s="3"/>
    </row>
    <row r="21" spans="2:21" ht="16.5" customHeight="1" x14ac:dyDescent="0.15">
      <c r="C21" s="3"/>
      <c r="I21" s="3"/>
      <c r="J21" s="3"/>
      <c r="K21" s="3"/>
      <c r="L21" s="3"/>
      <c r="M21" s="3"/>
      <c r="N21" s="3"/>
      <c r="O21" s="3"/>
      <c r="P21" s="3"/>
      <c r="Q21" s="3"/>
      <c r="R21" s="3"/>
    </row>
    <row r="22" spans="2:21" ht="27.75" customHeight="1" x14ac:dyDescent="0.15">
      <c r="C22" s="3" t="s">
        <v>14</v>
      </c>
      <c r="D22" s="196"/>
      <c r="E22" s="196"/>
      <c r="F22" s="196"/>
      <c r="G22" s="196"/>
      <c r="H22" s="196"/>
      <c r="I22" s="3" t="s">
        <v>0</v>
      </c>
      <c r="J22" s="3"/>
      <c r="K22" s="3"/>
      <c r="L22" s="3"/>
      <c r="M22" s="3"/>
      <c r="N22" s="3"/>
      <c r="O22" s="3"/>
      <c r="P22" s="3"/>
      <c r="Q22" s="3"/>
      <c r="R22" s="3"/>
    </row>
    <row r="23" spans="2:21" ht="20.25" customHeight="1" x14ac:dyDescent="0.15">
      <c r="C23" s="3"/>
      <c r="I23" s="3"/>
      <c r="J23" s="3"/>
      <c r="K23" s="3"/>
      <c r="L23" s="3"/>
      <c r="M23" s="3"/>
      <c r="N23" s="3"/>
      <c r="O23" s="3"/>
      <c r="P23" s="3"/>
      <c r="Q23" s="3"/>
      <c r="R23" s="3"/>
    </row>
    <row r="24" spans="2:21" ht="27.75" customHeight="1" x14ac:dyDescent="0.15">
      <c r="B24" s="3"/>
      <c r="C24" s="3" t="s">
        <v>13</v>
      </c>
      <c r="D24" s="196"/>
      <c r="E24" s="196"/>
      <c r="F24" s="196"/>
      <c r="G24" s="196"/>
      <c r="H24" s="196"/>
      <c r="I24" s="3"/>
      <c r="J24" s="3"/>
      <c r="K24" s="3"/>
      <c r="L24" s="3"/>
      <c r="M24" s="3"/>
      <c r="N24" s="3"/>
      <c r="O24" s="3"/>
      <c r="P24" s="3"/>
      <c r="Q24" s="3"/>
      <c r="R24" s="3"/>
    </row>
    <row r="25" spans="2:21" ht="16.5" customHeight="1" x14ac:dyDescent="0.15">
      <c r="C25" s="3"/>
      <c r="I25" s="3"/>
      <c r="J25" s="3"/>
      <c r="K25" s="3"/>
      <c r="L25" s="3"/>
      <c r="M25" s="3"/>
      <c r="N25" s="3"/>
      <c r="O25" s="3"/>
      <c r="P25" s="3"/>
      <c r="Q25" s="3"/>
      <c r="R25" s="3"/>
    </row>
    <row r="26" spans="2:21" ht="27.75" customHeight="1" x14ac:dyDescent="0.15">
      <c r="C26" s="3" t="s">
        <v>14</v>
      </c>
      <c r="D26" s="196"/>
      <c r="E26" s="196"/>
      <c r="F26" s="196"/>
      <c r="G26" s="196"/>
      <c r="H26" s="196"/>
      <c r="I26" s="3" t="s">
        <v>0</v>
      </c>
      <c r="J26" s="3"/>
      <c r="K26" s="3"/>
      <c r="L26" s="3"/>
      <c r="M26" s="3"/>
      <c r="N26" s="3"/>
      <c r="O26" s="3"/>
      <c r="P26" s="3"/>
      <c r="Q26" s="3"/>
      <c r="R26" s="3"/>
    </row>
    <row r="27" spans="2:21" ht="20.25" customHeight="1" x14ac:dyDescent="0.15">
      <c r="C27" s="3"/>
      <c r="I27" s="3"/>
      <c r="J27" s="3"/>
      <c r="K27" s="3"/>
      <c r="L27" s="3"/>
      <c r="M27" s="3"/>
      <c r="N27" s="3"/>
      <c r="O27" s="3"/>
      <c r="P27" s="3"/>
      <c r="Q27" s="3"/>
      <c r="R27" s="3"/>
    </row>
    <row r="28" spans="2:21" ht="27.75" customHeight="1" x14ac:dyDescent="0.15">
      <c r="B28" s="3"/>
      <c r="C28" s="3" t="s">
        <v>13</v>
      </c>
      <c r="D28" s="196"/>
      <c r="E28" s="196"/>
      <c r="F28" s="196"/>
      <c r="G28" s="196"/>
      <c r="H28" s="196"/>
      <c r="I28" s="3"/>
      <c r="J28" s="3"/>
      <c r="K28" s="3"/>
      <c r="L28" s="3"/>
      <c r="M28" s="3"/>
      <c r="N28" s="3"/>
      <c r="O28" s="3"/>
      <c r="P28" s="3"/>
      <c r="Q28" s="3"/>
      <c r="R28" s="3"/>
    </row>
    <row r="29" spans="2:21" ht="16.5" customHeight="1" x14ac:dyDescent="0.15">
      <c r="C29" s="3"/>
      <c r="I29" s="3"/>
      <c r="J29" s="3"/>
      <c r="K29" s="3"/>
      <c r="L29" s="3"/>
      <c r="M29" s="3"/>
      <c r="N29" s="3"/>
      <c r="O29" s="3"/>
      <c r="P29" s="3"/>
      <c r="Q29" s="3"/>
      <c r="R29" s="3"/>
    </row>
    <row r="30" spans="2:21" ht="27.75" customHeight="1" x14ac:dyDescent="0.15">
      <c r="C30" s="3" t="s">
        <v>14</v>
      </c>
      <c r="D30" s="196"/>
      <c r="E30" s="196"/>
      <c r="F30" s="196"/>
      <c r="G30" s="196"/>
      <c r="H30" s="196"/>
      <c r="I30" s="3" t="s">
        <v>0</v>
      </c>
      <c r="J30" s="3"/>
      <c r="K30" s="3"/>
      <c r="L30" s="3"/>
      <c r="M30" s="3"/>
      <c r="N30" s="3"/>
      <c r="O30" s="3"/>
      <c r="P30" s="3"/>
      <c r="Q30" s="3"/>
      <c r="R30" s="3"/>
    </row>
    <row r="31" spans="2:21" x14ac:dyDescent="0.15">
      <c r="Q31" s="3"/>
      <c r="R31" s="3"/>
    </row>
    <row r="32" spans="2:21" ht="27.75" customHeight="1" x14ac:dyDescent="0.15">
      <c r="C32" s="3"/>
      <c r="I32" s="3"/>
      <c r="J32" s="3"/>
      <c r="K32" s="3"/>
      <c r="L32" s="3"/>
      <c r="M32" s="3"/>
      <c r="N32" s="3"/>
      <c r="O32" s="3"/>
      <c r="P32" s="3"/>
      <c r="Q32" s="3"/>
      <c r="R32" s="3"/>
    </row>
    <row r="33" spans="3:18" ht="27.75" customHeight="1" x14ac:dyDescent="0.15">
      <c r="C33" s="3"/>
      <c r="I33" s="3"/>
      <c r="J33" s="3"/>
      <c r="K33" s="3"/>
      <c r="L33" s="3"/>
      <c r="M33" s="3"/>
      <c r="N33" s="3"/>
      <c r="O33" s="3"/>
      <c r="P33" s="3"/>
      <c r="Q33" s="3"/>
      <c r="R33" s="3"/>
    </row>
    <row r="34" spans="3:18" ht="27.75" customHeight="1" x14ac:dyDescent="0.15">
      <c r="C34" s="3"/>
      <c r="I34" s="3"/>
      <c r="J34" s="3"/>
      <c r="K34" s="3"/>
      <c r="L34" s="3"/>
      <c r="M34" s="3"/>
      <c r="N34" s="3"/>
      <c r="O34" s="3"/>
      <c r="P34" s="3"/>
      <c r="Q34" s="3"/>
      <c r="R34" s="3"/>
    </row>
    <row r="36" spans="3:18" x14ac:dyDescent="0.15">
      <c r="Q36" s="3"/>
      <c r="R36" s="3"/>
    </row>
    <row r="37" spans="3:18" x14ac:dyDescent="0.15">
      <c r="Q37" s="3"/>
      <c r="R37" s="3"/>
    </row>
    <row r="38" spans="3:18" x14ac:dyDescent="0.15">
      <c r="Q38" s="3"/>
      <c r="R38" s="3"/>
    </row>
  </sheetData>
  <mergeCells count="14">
    <mergeCell ref="D30:H30"/>
    <mergeCell ref="D24:H24"/>
    <mergeCell ref="D26:H26"/>
    <mergeCell ref="A1:J1"/>
    <mergeCell ref="A9:I9"/>
    <mergeCell ref="D16:H16"/>
    <mergeCell ref="D22:H22"/>
    <mergeCell ref="D20:H20"/>
    <mergeCell ref="D4:I4"/>
    <mergeCell ref="D18:H18"/>
    <mergeCell ref="D6:I6"/>
    <mergeCell ref="A11:J11"/>
    <mergeCell ref="A12:J12"/>
    <mergeCell ref="D28:H28"/>
  </mergeCells>
  <phoneticPr fontId="2"/>
  <dataValidations count="1">
    <dataValidation type="list" allowBlank="1" showInputMessage="1" sqref="D4:I4 D6:I6" xr:uid="{83735965-95CA-489B-9F16-70500A04F397}">
      <formula1>$U$3:$U$17</formula1>
    </dataValidation>
  </dataValidations>
  <pageMargins left="1.19" right="0.78700000000000003" top="0.98399999999999999" bottom="0.98399999999999999" header="0.51200000000000001" footer="0.51200000000000001"/>
  <pageSetup paperSize="8" orientation="landscape" verticalDpi="1200" copies="2"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38"/>
  <sheetViews>
    <sheetView topLeftCell="A13" workbookViewId="0">
      <selection activeCell="D34" sqref="D16:H34"/>
    </sheetView>
  </sheetViews>
  <sheetFormatPr defaultRowHeight="13.5" x14ac:dyDescent="0.15"/>
  <cols>
    <col min="1" max="1" width="3.25" style="1" customWidth="1"/>
    <col min="2" max="2" width="7.375" style="1" customWidth="1"/>
    <col min="3" max="3" width="10.375" style="1" customWidth="1"/>
    <col min="4" max="16384" width="9" style="1"/>
  </cols>
  <sheetData>
    <row r="1" spans="1:21" ht="53.25" customHeight="1" x14ac:dyDescent="0.15">
      <c r="A1" s="190" t="s">
        <v>10</v>
      </c>
      <c r="B1" s="190"/>
      <c r="C1" s="190"/>
      <c r="D1" s="190"/>
      <c r="E1" s="190"/>
      <c r="F1" s="190"/>
      <c r="G1" s="190"/>
      <c r="H1" s="190"/>
      <c r="I1" s="190"/>
      <c r="J1" s="190"/>
      <c r="K1" s="4"/>
      <c r="L1" s="4"/>
      <c r="M1" s="4"/>
      <c r="N1" s="4"/>
      <c r="O1" s="4"/>
      <c r="P1" s="4"/>
      <c r="Q1" s="4"/>
      <c r="R1" s="4"/>
      <c r="S1" s="4"/>
    </row>
    <row r="2" spans="1:21" ht="35.25" customHeight="1" x14ac:dyDescent="0.15">
      <c r="A2" s="2">
        <v>1</v>
      </c>
      <c r="B2" s="1" t="s">
        <v>70</v>
      </c>
    </row>
    <row r="3" spans="1:21" ht="19.5" customHeight="1" x14ac:dyDescent="0.15">
      <c r="U3" s="1" t="e">
        <f>入力シート!$C7&amp;入力シート!$D7</f>
        <v>#REF!</v>
      </c>
    </row>
    <row r="4" spans="1:21" ht="19.5" customHeight="1" x14ac:dyDescent="0.15">
      <c r="C4" s="1" t="s">
        <v>7</v>
      </c>
      <c r="D4" s="193" t="s">
        <v>117</v>
      </c>
      <c r="E4" s="193"/>
      <c r="F4" s="193"/>
      <c r="G4" s="193"/>
      <c r="H4" s="193"/>
      <c r="I4" s="193"/>
      <c r="J4" s="7"/>
      <c r="K4" s="7"/>
      <c r="L4" s="7"/>
      <c r="M4" s="7"/>
      <c r="N4" s="7"/>
      <c r="O4" s="7"/>
      <c r="P4" s="7"/>
      <c r="R4" s="7"/>
      <c r="U4" s="1" t="e">
        <f>入力シート!$C8&amp;入力シート!$D8</f>
        <v>#REF!</v>
      </c>
    </row>
    <row r="5" spans="1:21" ht="19.5" customHeight="1" x14ac:dyDescent="0.15">
      <c r="U5" s="1" t="e">
        <f>入力シート!$C9&amp;入力シート!$D9</f>
        <v>#REF!</v>
      </c>
    </row>
    <row r="6" spans="1:21" ht="19.5" customHeight="1" x14ac:dyDescent="0.15">
      <c r="C6" s="1" t="s">
        <v>8</v>
      </c>
      <c r="D6" s="193" t="s">
        <v>117</v>
      </c>
      <c r="E6" s="193"/>
      <c r="F6" s="193"/>
      <c r="G6" s="193"/>
      <c r="H6" s="193"/>
      <c r="I6" s="193"/>
      <c r="U6" s="1" t="e">
        <f>入力シート!$C10&amp;入力シート!$D10</f>
        <v>#REF!</v>
      </c>
    </row>
    <row r="7" spans="1:21" ht="21" customHeight="1" x14ac:dyDescent="0.15">
      <c r="U7" s="1" t="e">
        <f>入力シート!$C11&amp;入力シート!$D11</f>
        <v>#REF!</v>
      </c>
    </row>
    <row r="8" spans="1:21" ht="29.25" customHeight="1" x14ac:dyDescent="0.15">
      <c r="A8" s="2">
        <v>2</v>
      </c>
      <c r="B8" s="1" t="s">
        <v>71</v>
      </c>
      <c r="U8" s="1" t="e">
        <f>入力シート!$C12&amp;入力シート!$D12</f>
        <v>#REF!</v>
      </c>
    </row>
    <row r="9" spans="1:21" ht="24" customHeight="1" x14ac:dyDescent="0.15">
      <c r="A9" s="191" t="s">
        <v>9</v>
      </c>
      <c r="B9" s="191"/>
      <c r="C9" s="191"/>
      <c r="D9" s="191"/>
      <c r="E9" s="191"/>
      <c r="F9" s="191"/>
      <c r="G9" s="191"/>
      <c r="H9" s="191"/>
      <c r="I9" s="191"/>
      <c r="J9" s="3"/>
      <c r="K9" s="3"/>
      <c r="L9" s="3"/>
      <c r="M9" s="3"/>
      <c r="N9" s="3"/>
      <c r="O9" s="3"/>
      <c r="P9" s="3"/>
      <c r="Q9" s="3"/>
      <c r="R9" s="3"/>
      <c r="S9" s="3"/>
      <c r="U9" s="1" t="str">
        <f>入力シート!$C13&amp;入力シート!$D13</f>
        <v/>
      </c>
    </row>
    <row r="10" spans="1:21" ht="14.25" customHeight="1" x14ac:dyDescent="0.15">
      <c r="U10" s="1" t="str">
        <f>入力シート!$C14&amp;入力シート!$D14</f>
        <v/>
      </c>
    </row>
    <row r="11" spans="1:21" ht="31.5" customHeight="1" x14ac:dyDescent="0.15">
      <c r="A11" s="189" t="s">
        <v>73</v>
      </c>
      <c r="B11" s="189"/>
      <c r="C11" s="189"/>
      <c r="D11" s="189"/>
      <c r="E11" s="189"/>
      <c r="F11" s="189"/>
      <c r="G11" s="189"/>
      <c r="H11" s="189"/>
      <c r="I11" s="189"/>
      <c r="J11" s="189"/>
      <c r="K11" s="5"/>
      <c r="L11" s="5"/>
      <c r="M11" s="5"/>
      <c r="N11" s="5"/>
      <c r="O11" s="5"/>
      <c r="P11" s="5"/>
      <c r="Q11" s="5"/>
      <c r="R11" s="5"/>
      <c r="S11" s="5"/>
      <c r="U11" s="1" t="str">
        <f>入力シート!$C15&amp;入力シート!$D15</f>
        <v/>
      </c>
    </row>
    <row r="12" spans="1:21" ht="31.5" customHeight="1" x14ac:dyDescent="0.15">
      <c r="A12" s="189" t="s">
        <v>79</v>
      </c>
      <c r="B12" s="189"/>
      <c r="C12" s="189"/>
      <c r="D12" s="189"/>
      <c r="E12" s="189"/>
      <c r="F12" s="189"/>
      <c r="G12" s="189"/>
      <c r="H12" s="189"/>
      <c r="I12" s="189"/>
      <c r="J12" s="189"/>
      <c r="U12" s="1" t="str">
        <f>入力シート!$C16&amp;入力シート!$D16</f>
        <v/>
      </c>
    </row>
    <row r="13" spans="1:21" ht="14.25" customHeight="1" x14ac:dyDescent="0.15">
      <c r="U13" s="1" t="str">
        <f>入力シート!$C17&amp;入力シート!$D17</f>
        <v/>
      </c>
    </row>
    <row r="14" spans="1:21" ht="27.75" customHeight="1" x14ac:dyDescent="0.15">
      <c r="B14" s="1" t="s">
        <v>95</v>
      </c>
      <c r="U14" s="1" t="str">
        <f>入力シート!$C18&amp;入力シート!$D18</f>
        <v/>
      </c>
    </row>
    <row r="15" spans="1:21" ht="15" customHeight="1" x14ac:dyDescent="0.15">
      <c r="U15" s="1" t="str">
        <f>入力シート!$C19&amp;入力シート!$D19</f>
        <v/>
      </c>
    </row>
    <row r="16" spans="1:21" ht="21.75" customHeight="1" x14ac:dyDescent="0.15">
      <c r="B16" s="3" t="s">
        <v>11</v>
      </c>
      <c r="C16" s="3" t="s">
        <v>13</v>
      </c>
      <c r="D16" s="196"/>
      <c r="E16" s="196"/>
      <c r="F16" s="196"/>
      <c r="G16" s="196"/>
      <c r="H16" s="196"/>
      <c r="I16" s="3"/>
      <c r="J16" s="3"/>
      <c r="K16" s="3"/>
      <c r="L16" s="3"/>
      <c r="M16" s="3"/>
      <c r="N16" s="3"/>
      <c r="O16" s="3"/>
      <c r="P16" s="3"/>
      <c r="Q16" s="3"/>
      <c r="R16" s="3"/>
      <c r="U16" s="1" t="str">
        <f>入力シート!$C20&amp;入力シート!$D20</f>
        <v/>
      </c>
    </row>
    <row r="17" spans="2:21" ht="12" customHeight="1" x14ac:dyDescent="0.15">
      <c r="C17" s="3"/>
      <c r="I17" s="3"/>
      <c r="J17" s="3"/>
      <c r="K17" s="3"/>
      <c r="L17" s="3"/>
      <c r="M17" s="3"/>
      <c r="N17" s="3"/>
      <c r="O17" s="3"/>
      <c r="P17" s="3"/>
      <c r="Q17" s="3"/>
      <c r="R17" s="3"/>
      <c r="U17" s="1" t="str">
        <f>入力シート!$C21&amp;入力シート!$D21</f>
        <v/>
      </c>
    </row>
    <row r="18" spans="2:21" ht="21.75" customHeight="1" x14ac:dyDescent="0.15">
      <c r="C18" s="3" t="s">
        <v>14</v>
      </c>
      <c r="D18" s="196"/>
      <c r="E18" s="196"/>
      <c r="F18" s="196"/>
      <c r="G18" s="196"/>
      <c r="H18" s="196"/>
      <c r="I18" s="3" t="s">
        <v>0</v>
      </c>
      <c r="J18" s="3"/>
      <c r="K18" s="3"/>
      <c r="L18" s="3"/>
      <c r="M18" s="3"/>
      <c r="N18" s="3"/>
      <c r="O18" s="3"/>
      <c r="P18" s="3"/>
      <c r="Q18" s="3"/>
      <c r="R18" s="3"/>
    </row>
    <row r="19" spans="2:21" ht="16.5" customHeight="1" x14ac:dyDescent="0.15">
      <c r="B19" s="3"/>
      <c r="C19" s="3"/>
      <c r="I19" s="3"/>
      <c r="J19" s="3"/>
      <c r="K19" s="3"/>
      <c r="L19" s="3"/>
      <c r="M19" s="3"/>
      <c r="N19" s="3"/>
      <c r="O19" s="3"/>
      <c r="P19" s="3"/>
      <c r="Q19" s="3"/>
      <c r="R19" s="3"/>
    </row>
    <row r="20" spans="2:21" ht="21.75" customHeight="1" x14ac:dyDescent="0.15">
      <c r="B20" s="3"/>
      <c r="C20" s="3" t="s">
        <v>13</v>
      </c>
      <c r="D20" s="196"/>
      <c r="E20" s="196"/>
      <c r="F20" s="196"/>
      <c r="G20" s="196"/>
      <c r="H20" s="196"/>
      <c r="I20" s="3"/>
      <c r="J20" s="3"/>
      <c r="K20" s="3"/>
      <c r="L20" s="3"/>
      <c r="M20" s="3"/>
      <c r="N20" s="3"/>
      <c r="O20" s="3"/>
      <c r="P20" s="3"/>
      <c r="Q20" s="3"/>
      <c r="R20" s="3"/>
    </row>
    <row r="21" spans="2:21" ht="12" customHeight="1" x14ac:dyDescent="0.15">
      <c r="C21" s="3"/>
      <c r="I21" s="3"/>
      <c r="J21" s="3"/>
      <c r="K21" s="3"/>
      <c r="L21" s="3"/>
      <c r="M21" s="3"/>
      <c r="N21" s="3"/>
      <c r="O21" s="3"/>
      <c r="P21" s="3"/>
      <c r="Q21" s="3"/>
      <c r="R21" s="3"/>
    </row>
    <row r="22" spans="2:21" ht="21.75" customHeight="1" x14ac:dyDescent="0.15">
      <c r="C22" s="3" t="s">
        <v>14</v>
      </c>
      <c r="D22" s="196"/>
      <c r="E22" s="196"/>
      <c r="F22" s="196"/>
      <c r="G22" s="196"/>
      <c r="H22" s="196"/>
      <c r="I22" s="3" t="s">
        <v>0</v>
      </c>
      <c r="J22" s="3"/>
      <c r="K22" s="3"/>
      <c r="L22" s="3"/>
      <c r="M22" s="3"/>
      <c r="N22" s="3"/>
      <c r="O22" s="3"/>
      <c r="P22" s="3"/>
      <c r="Q22" s="3"/>
      <c r="R22" s="3"/>
    </row>
    <row r="23" spans="2:21" ht="21" customHeight="1" x14ac:dyDescent="0.15">
      <c r="C23" s="3"/>
      <c r="I23" s="3"/>
      <c r="J23" s="3"/>
      <c r="K23" s="3"/>
      <c r="L23" s="3"/>
      <c r="M23" s="3"/>
      <c r="N23" s="3"/>
      <c r="O23" s="3"/>
      <c r="P23" s="3"/>
      <c r="Q23" s="3"/>
      <c r="R23" s="3"/>
    </row>
    <row r="24" spans="2:21" ht="21.75" customHeight="1" x14ac:dyDescent="0.15">
      <c r="B24" s="3" t="s">
        <v>12</v>
      </c>
      <c r="C24" s="3" t="s">
        <v>13</v>
      </c>
      <c r="D24" s="196"/>
      <c r="E24" s="196"/>
      <c r="F24" s="196"/>
      <c r="G24" s="196"/>
      <c r="H24" s="196"/>
      <c r="I24" s="3"/>
      <c r="J24" s="3"/>
      <c r="K24" s="3"/>
      <c r="L24" s="3"/>
      <c r="M24" s="3"/>
      <c r="N24" s="3"/>
      <c r="O24" s="3"/>
      <c r="P24" s="3"/>
      <c r="Q24" s="3"/>
      <c r="R24" s="3"/>
    </row>
    <row r="25" spans="2:21" ht="12" customHeight="1" x14ac:dyDescent="0.15">
      <c r="C25" s="3"/>
      <c r="I25" s="3"/>
      <c r="J25" s="3"/>
      <c r="K25" s="3"/>
      <c r="L25" s="3"/>
      <c r="M25" s="3"/>
      <c r="N25" s="3"/>
      <c r="O25" s="3"/>
      <c r="P25" s="3"/>
      <c r="Q25" s="3"/>
      <c r="R25" s="3"/>
    </row>
    <row r="26" spans="2:21" ht="21.75" customHeight="1" x14ac:dyDescent="0.15">
      <c r="C26" s="3" t="s">
        <v>14</v>
      </c>
      <c r="D26" s="196"/>
      <c r="E26" s="196"/>
      <c r="F26" s="196"/>
      <c r="G26" s="196"/>
      <c r="H26" s="196"/>
      <c r="I26" s="3" t="s">
        <v>0</v>
      </c>
      <c r="J26" s="3"/>
      <c r="K26" s="3"/>
      <c r="L26" s="3"/>
      <c r="M26" s="3"/>
      <c r="N26" s="3"/>
      <c r="O26" s="3"/>
      <c r="P26" s="3"/>
      <c r="Q26" s="3"/>
      <c r="R26" s="3"/>
    </row>
    <row r="27" spans="2:21" ht="16.5" customHeight="1" x14ac:dyDescent="0.15">
      <c r="C27" s="3"/>
      <c r="I27" s="3"/>
      <c r="J27" s="3"/>
      <c r="K27" s="3"/>
      <c r="L27" s="3"/>
      <c r="M27" s="3"/>
      <c r="N27" s="3"/>
      <c r="O27" s="3"/>
      <c r="P27" s="3"/>
      <c r="Q27" s="3"/>
      <c r="R27" s="3"/>
    </row>
    <row r="28" spans="2:21" ht="21.75" customHeight="1" x14ac:dyDescent="0.15">
      <c r="B28" s="3"/>
      <c r="C28" s="3" t="s">
        <v>13</v>
      </c>
      <c r="D28" s="196"/>
      <c r="E28" s="196"/>
      <c r="F28" s="196"/>
      <c r="G28" s="196"/>
      <c r="H28" s="196"/>
      <c r="I28" s="3"/>
      <c r="J28" s="3"/>
      <c r="K28" s="3"/>
      <c r="L28" s="3"/>
      <c r="M28" s="3"/>
      <c r="N28" s="3"/>
      <c r="O28" s="3"/>
      <c r="P28" s="3"/>
      <c r="Q28" s="3"/>
      <c r="R28" s="3"/>
    </row>
    <row r="29" spans="2:21" ht="12" customHeight="1" x14ac:dyDescent="0.15">
      <c r="C29" s="3"/>
      <c r="I29" s="3"/>
      <c r="J29" s="3"/>
      <c r="K29" s="3"/>
      <c r="L29" s="3"/>
      <c r="M29" s="3"/>
      <c r="N29" s="3"/>
      <c r="O29" s="3"/>
      <c r="P29" s="3"/>
      <c r="Q29" s="3"/>
      <c r="R29" s="3"/>
    </row>
    <row r="30" spans="2:21" ht="21.75" customHeight="1" x14ac:dyDescent="0.15">
      <c r="C30" s="3" t="s">
        <v>14</v>
      </c>
      <c r="D30" s="196"/>
      <c r="E30" s="196"/>
      <c r="F30" s="196"/>
      <c r="G30" s="196"/>
      <c r="H30" s="196"/>
      <c r="I30" s="3" t="s">
        <v>0</v>
      </c>
      <c r="J30" s="3"/>
      <c r="K30" s="3"/>
      <c r="L30" s="3"/>
      <c r="M30" s="3"/>
      <c r="N30" s="3"/>
      <c r="O30" s="3"/>
      <c r="P30" s="3"/>
      <c r="Q30" s="3"/>
      <c r="R30" s="3"/>
    </row>
    <row r="31" spans="2:21" ht="16.5" customHeight="1" x14ac:dyDescent="0.15">
      <c r="C31" s="3"/>
      <c r="I31" s="3"/>
      <c r="J31" s="3"/>
      <c r="K31" s="3"/>
      <c r="L31" s="3"/>
      <c r="M31" s="3"/>
      <c r="N31" s="3"/>
      <c r="O31" s="3"/>
      <c r="P31" s="3"/>
      <c r="Q31" s="3"/>
      <c r="R31" s="3"/>
    </row>
    <row r="32" spans="2:21" ht="21.75" customHeight="1" x14ac:dyDescent="0.15">
      <c r="B32" s="3"/>
      <c r="C32" s="3" t="s">
        <v>13</v>
      </c>
      <c r="D32" s="196"/>
      <c r="E32" s="196"/>
      <c r="F32" s="196"/>
      <c r="G32" s="196"/>
      <c r="H32" s="196"/>
      <c r="I32" s="3"/>
      <c r="J32" s="3"/>
      <c r="K32" s="3"/>
      <c r="L32" s="3"/>
      <c r="M32" s="3"/>
      <c r="N32" s="3"/>
      <c r="O32" s="3"/>
      <c r="P32" s="3"/>
      <c r="Q32" s="3"/>
      <c r="R32" s="3"/>
    </row>
    <row r="33" spans="3:18" ht="12" customHeight="1" x14ac:dyDescent="0.15">
      <c r="C33" s="3"/>
      <c r="I33" s="3"/>
      <c r="J33" s="3"/>
      <c r="K33" s="3"/>
      <c r="L33" s="3"/>
      <c r="M33" s="3"/>
      <c r="N33" s="3"/>
      <c r="O33" s="3"/>
      <c r="P33" s="3"/>
      <c r="Q33" s="3"/>
      <c r="R33" s="3"/>
    </row>
    <row r="34" spans="3:18" ht="21.75" customHeight="1" x14ac:dyDescent="0.15">
      <c r="C34" s="3" t="s">
        <v>14</v>
      </c>
      <c r="D34" s="196"/>
      <c r="E34" s="196"/>
      <c r="F34" s="196"/>
      <c r="G34" s="196"/>
      <c r="H34" s="196"/>
      <c r="I34" s="3" t="s">
        <v>0</v>
      </c>
      <c r="J34" s="3"/>
      <c r="K34" s="3"/>
      <c r="L34" s="3"/>
      <c r="M34" s="3"/>
      <c r="N34" s="3"/>
      <c r="O34" s="3"/>
      <c r="P34" s="3"/>
      <c r="Q34" s="3"/>
      <c r="R34" s="3"/>
    </row>
    <row r="36" spans="3:18" ht="27.75" customHeight="1" x14ac:dyDescent="0.15">
      <c r="C36" s="3"/>
      <c r="I36" s="3"/>
      <c r="J36" s="3"/>
      <c r="K36" s="3"/>
      <c r="L36" s="3"/>
      <c r="M36" s="3"/>
      <c r="N36" s="3"/>
      <c r="O36" s="3"/>
      <c r="P36" s="3"/>
      <c r="Q36" s="3"/>
      <c r="R36" s="3"/>
    </row>
    <row r="37" spans="3:18" ht="27.75" customHeight="1" x14ac:dyDescent="0.15">
      <c r="C37" s="3"/>
      <c r="I37" s="3"/>
      <c r="J37" s="3"/>
      <c r="K37" s="3"/>
      <c r="L37" s="3"/>
      <c r="M37" s="3"/>
      <c r="N37" s="3"/>
      <c r="O37" s="3"/>
      <c r="P37" s="3"/>
      <c r="Q37" s="3"/>
      <c r="R37" s="3"/>
    </row>
    <row r="38" spans="3:18" ht="27.75" customHeight="1" x14ac:dyDescent="0.15">
      <c r="C38" s="3"/>
      <c r="I38" s="3"/>
      <c r="J38" s="3"/>
      <c r="K38" s="3"/>
      <c r="L38" s="3"/>
      <c r="M38" s="3"/>
      <c r="N38" s="3"/>
      <c r="O38" s="3"/>
      <c r="P38" s="3"/>
      <c r="Q38" s="3"/>
      <c r="R38" s="3"/>
    </row>
  </sheetData>
  <mergeCells count="16">
    <mergeCell ref="D34:H34"/>
    <mergeCell ref="D28:H28"/>
    <mergeCell ref="D30:H30"/>
    <mergeCell ref="D26:H26"/>
    <mergeCell ref="A1:J1"/>
    <mergeCell ref="D16:H16"/>
    <mergeCell ref="D6:I6"/>
    <mergeCell ref="D32:H32"/>
    <mergeCell ref="D24:H24"/>
    <mergeCell ref="D4:I4"/>
    <mergeCell ref="D18:H18"/>
    <mergeCell ref="D20:H20"/>
    <mergeCell ref="D22:H22"/>
    <mergeCell ref="A9:I9"/>
    <mergeCell ref="A11:J11"/>
    <mergeCell ref="A12:J12"/>
  </mergeCells>
  <phoneticPr fontId="2"/>
  <dataValidations count="1">
    <dataValidation type="list" allowBlank="1" showInputMessage="1" sqref="D4:I4 D6:I6" xr:uid="{C51BD829-FDBF-42E9-BCA9-84D563975038}">
      <formula1>$U$3:$U$17</formula1>
    </dataValidation>
  </dataValidations>
  <pageMargins left="1.19" right="0.78700000000000003" top="0.98399999999999999" bottom="0.98399999999999999" header="0.51200000000000001" footer="0.51200000000000001"/>
  <pageSetup paperSize="8" orientation="landscape" horizontalDpi="4294967292" verticalDpi="1200"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42"/>
  <sheetViews>
    <sheetView topLeftCell="A13" workbookViewId="0">
      <selection activeCell="L26" sqref="L26"/>
    </sheetView>
  </sheetViews>
  <sheetFormatPr defaultRowHeight="13.5" x14ac:dyDescent="0.15"/>
  <cols>
    <col min="1" max="1" width="3.25" style="1" customWidth="1"/>
    <col min="2" max="2" width="7.375" style="1" customWidth="1"/>
    <col min="3" max="3" width="10.375" style="1" customWidth="1"/>
    <col min="4" max="16384" width="9" style="1"/>
  </cols>
  <sheetData>
    <row r="1" spans="1:21" ht="42.75" customHeight="1" x14ac:dyDescent="0.15">
      <c r="A1" s="190" t="s">
        <v>10</v>
      </c>
      <c r="B1" s="190"/>
      <c r="C1" s="190"/>
      <c r="D1" s="190"/>
      <c r="E1" s="190"/>
      <c r="F1" s="190"/>
      <c r="G1" s="190"/>
      <c r="H1" s="190"/>
      <c r="I1" s="190"/>
      <c r="J1" s="190"/>
      <c r="K1" s="4"/>
      <c r="L1" s="4"/>
      <c r="M1" s="4"/>
      <c r="N1" s="4"/>
      <c r="O1" s="4"/>
      <c r="P1" s="4"/>
      <c r="Q1" s="4"/>
      <c r="R1" s="4"/>
      <c r="S1" s="4"/>
    </row>
    <row r="2" spans="1:21" ht="35.25" customHeight="1" x14ac:dyDescent="0.15">
      <c r="A2" s="2">
        <v>1</v>
      </c>
      <c r="B2" s="1" t="s">
        <v>70</v>
      </c>
    </row>
    <row r="3" spans="1:21" ht="16.5" customHeight="1" x14ac:dyDescent="0.15">
      <c r="U3" s="1" t="e">
        <f>入力シート!$C7&amp;入力シート!$D7</f>
        <v>#REF!</v>
      </c>
    </row>
    <row r="4" spans="1:21" ht="16.5" customHeight="1" x14ac:dyDescent="0.15">
      <c r="C4" s="1" t="s">
        <v>7</v>
      </c>
      <c r="D4" s="193" t="s">
        <v>118</v>
      </c>
      <c r="E4" s="193"/>
      <c r="F4" s="193"/>
      <c r="G4" s="193"/>
      <c r="H4" s="193"/>
      <c r="I4" s="193"/>
      <c r="J4" s="7"/>
      <c r="K4" s="7"/>
      <c r="L4" s="7"/>
      <c r="M4" s="7"/>
      <c r="N4" s="7"/>
      <c r="O4" s="7"/>
      <c r="P4" s="7"/>
      <c r="R4" s="7"/>
      <c r="U4" s="1" t="e">
        <f>入力シート!$C8&amp;入力シート!$D8</f>
        <v>#REF!</v>
      </c>
    </row>
    <row r="5" spans="1:21" ht="9.75" customHeight="1" x14ac:dyDescent="0.15">
      <c r="U5" s="1" t="e">
        <f>入力シート!$C9&amp;入力シート!$D9</f>
        <v>#REF!</v>
      </c>
    </row>
    <row r="6" spans="1:21" ht="16.5" customHeight="1" x14ac:dyDescent="0.15">
      <c r="C6" s="1" t="s">
        <v>8</v>
      </c>
      <c r="D6" s="193" t="s">
        <v>116</v>
      </c>
      <c r="E6" s="193"/>
      <c r="F6" s="193"/>
      <c r="G6" s="193"/>
      <c r="H6" s="193"/>
      <c r="I6" s="193"/>
      <c r="U6" s="1" t="e">
        <f>入力シート!$C10&amp;入力シート!$D10</f>
        <v>#REF!</v>
      </c>
    </row>
    <row r="7" spans="1:21" ht="18" customHeight="1" x14ac:dyDescent="0.15">
      <c r="U7" s="1" t="e">
        <f>入力シート!$C11&amp;入力シート!$D11</f>
        <v>#REF!</v>
      </c>
    </row>
    <row r="8" spans="1:21" ht="29.25" customHeight="1" x14ac:dyDescent="0.15">
      <c r="A8" s="2">
        <v>2</v>
      </c>
      <c r="B8" s="1" t="s">
        <v>71</v>
      </c>
      <c r="U8" s="1" t="e">
        <f>入力シート!$C12&amp;入力シート!$D12</f>
        <v>#REF!</v>
      </c>
    </row>
    <row r="9" spans="1:21" ht="24" customHeight="1" x14ac:dyDescent="0.15">
      <c r="A9" s="191" t="s">
        <v>9</v>
      </c>
      <c r="B9" s="191"/>
      <c r="C9" s="191"/>
      <c r="D9" s="191"/>
      <c r="E9" s="191"/>
      <c r="F9" s="191"/>
      <c r="G9" s="191"/>
      <c r="H9" s="191"/>
      <c r="I9" s="191"/>
      <c r="J9" s="3"/>
      <c r="K9" s="3"/>
      <c r="L9" s="3"/>
      <c r="M9" s="3"/>
      <c r="N9" s="3"/>
      <c r="O9" s="3"/>
      <c r="P9" s="3"/>
      <c r="Q9" s="3"/>
      <c r="R9" s="3"/>
      <c r="S9" s="3"/>
      <c r="U9" s="1" t="str">
        <f>入力シート!$C13&amp;入力シート!$D13</f>
        <v/>
      </c>
    </row>
    <row r="10" spans="1:21" ht="12" customHeight="1" x14ac:dyDescent="0.15">
      <c r="U10" s="1" t="str">
        <f>入力シート!$C14&amp;入力シート!$D14</f>
        <v/>
      </c>
    </row>
    <row r="11" spans="1:21" ht="30.75" customHeight="1" x14ac:dyDescent="0.15">
      <c r="A11" s="189" t="s">
        <v>73</v>
      </c>
      <c r="B11" s="189"/>
      <c r="C11" s="189"/>
      <c r="D11" s="189"/>
      <c r="E11" s="189"/>
      <c r="F11" s="189"/>
      <c r="G11" s="189"/>
      <c r="H11" s="189"/>
      <c r="I11" s="189"/>
      <c r="J11" s="189"/>
      <c r="K11" s="5"/>
      <c r="L11" s="5"/>
      <c r="M11" s="5"/>
      <c r="N11" s="5"/>
      <c r="O11" s="5"/>
      <c r="P11" s="5"/>
      <c r="Q11" s="5"/>
      <c r="R11" s="5"/>
      <c r="S11" s="5"/>
      <c r="U11" s="1" t="str">
        <f>入力シート!$C15&amp;入力シート!$D15</f>
        <v/>
      </c>
    </row>
    <row r="12" spans="1:21" ht="30.75" customHeight="1" x14ac:dyDescent="0.15">
      <c r="A12" s="189" t="s">
        <v>79</v>
      </c>
      <c r="B12" s="189"/>
      <c r="C12" s="189"/>
      <c r="D12" s="189"/>
      <c r="E12" s="189"/>
      <c r="F12" s="189"/>
      <c r="G12" s="189"/>
      <c r="H12" s="189"/>
      <c r="I12" s="189"/>
      <c r="J12" s="189"/>
      <c r="U12" s="1" t="str">
        <f>入力シート!$C16&amp;入力シート!$D16</f>
        <v/>
      </c>
    </row>
    <row r="13" spans="1:21" ht="14.25" customHeight="1" x14ac:dyDescent="0.15">
      <c r="U13" s="1" t="str">
        <f>入力シート!$C17&amp;入力シート!$D17</f>
        <v/>
      </c>
    </row>
    <row r="14" spans="1:21" ht="27.75" customHeight="1" x14ac:dyDescent="0.15">
      <c r="B14" s="1" t="s">
        <v>95</v>
      </c>
      <c r="U14" s="1" t="str">
        <f>入力シート!$C18&amp;入力シート!$D18</f>
        <v/>
      </c>
    </row>
    <row r="15" spans="1:21" ht="15" customHeight="1" x14ac:dyDescent="0.15">
      <c r="U15" s="1" t="str">
        <f>入力シート!$C19&amp;入力シート!$D19</f>
        <v/>
      </c>
    </row>
    <row r="16" spans="1:21" ht="21.75" customHeight="1" x14ac:dyDescent="0.15">
      <c r="B16" s="3" t="s">
        <v>11</v>
      </c>
      <c r="C16" s="3" t="s">
        <v>13</v>
      </c>
      <c r="D16" s="196"/>
      <c r="E16" s="196"/>
      <c r="F16" s="196"/>
      <c r="G16" s="196"/>
      <c r="H16" s="196"/>
      <c r="I16" s="3"/>
      <c r="J16" s="3"/>
      <c r="K16" s="3"/>
      <c r="L16" s="3"/>
      <c r="M16" s="3"/>
      <c r="N16" s="3"/>
      <c r="O16" s="3"/>
      <c r="P16" s="3"/>
      <c r="Q16" s="3"/>
      <c r="R16" s="3"/>
      <c r="U16" s="1" t="str">
        <f>入力シート!$C20&amp;入力シート!$D20</f>
        <v/>
      </c>
    </row>
    <row r="17" spans="2:21" ht="12" customHeight="1" x14ac:dyDescent="0.15">
      <c r="C17" s="3"/>
      <c r="I17" s="3"/>
      <c r="J17" s="3"/>
      <c r="K17" s="3"/>
      <c r="L17" s="3"/>
      <c r="M17" s="3"/>
      <c r="N17" s="3"/>
      <c r="O17" s="3"/>
      <c r="P17" s="3"/>
      <c r="Q17" s="3"/>
      <c r="R17" s="3"/>
      <c r="U17" s="1" t="str">
        <f>入力シート!$C21&amp;入力シート!$D21</f>
        <v/>
      </c>
    </row>
    <row r="18" spans="2:21" ht="21.75" customHeight="1" x14ac:dyDescent="0.15">
      <c r="C18" s="3" t="s">
        <v>14</v>
      </c>
      <c r="D18" s="196"/>
      <c r="E18" s="196"/>
      <c r="F18" s="196"/>
      <c r="G18" s="196"/>
      <c r="H18" s="196"/>
      <c r="I18" s="3" t="s">
        <v>0</v>
      </c>
      <c r="J18" s="3"/>
      <c r="K18" s="3"/>
      <c r="L18" s="3"/>
      <c r="M18" s="3"/>
      <c r="N18" s="3"/>
      <c r="O18" s="3"/>
      <c r="P18" s="3"/>
      <c r="Q18" s="3"/>
      <c r="R18" s="3"/>
    </row>
    <row r="19" spans="2:21" ht="16.5" customHeight="1" x14ac:dyDescent="0.15">
      <c r="B19" s="3"/>
      <c r="C19" s="3"/>
      <c r="I19" s="3"/>
      <c r="J19" s="3"/>
      <c r="K19" s="3"/>
      <c r="L19" s="3"/>
      <c r="M19" s="3"/>
      <c r="N19" s="3"/>
      <c r="O19" s="3"/>
      <c r="P19" s="3"/>
      <c r="Q19" s="3"/>
      <c r="R19" s="3"/>
    </row>
    <row r="20" spans="2:21" ht="21.75" customHeight="1" x14ac:dyDescent="0.15">
      <c r="B20" s="3"/>
      <c r="C20" s="3" t="s">
        <v>13</v>
      </c>
      <c r="D20" s="196"/>
      <c r="E20" s="196"/>
      <c r="F20" s="196"/>
      <c r="G20" s="196"/>
      <c r="H20" s="196"/>
      <c r="I20" s="3"/>
      <c r="J20" s="3"/>
      <c r="K20" s="3"/>
      <c r="L20" s="3"/>
      <c r="M20" s="3"/>
      <c r="N20" s="3"/>
      <c r="O20" s="3"/>
      <c r="P20" s="3"/>
      <c r="Q20" s="3"/>
      <c r="R20" s="3"/>
    </row>
    <row r="21" spans="2:21" ht="12" customHeight="1" x14ac:dyDescent="0.15">
      <c r="C21" s="3"/>
      <c r="I21" s="3"/>
      <c r="J21" s="3"/>
      <c r="K21" s="3"/>
      <c r="L21" s="3"/>
      <c r="M21" s="3"/>
      <c r="N21" s="3"/>
      <c r="O21" s="3"/>
      <c r="P21" s="3"/>
      <c r="Q21" s="3"/>
      <c r="R21" s="3"/>
    </row>
    <row r="22" spans="2:21" ht="21.75" customHeight="1" x14ac:dyDescent="0.15">
      <c r="C22" s="3" t="s">
        <v>14</v>
      </c>
      <c r="D22" s="196"/>
      <c r="E22" s="196"/>
      <c r="F22" s="196"/>
      <c r="G22" s="196"/>
      <c r="H22" s="196"/>
      <c r="I22" s="3" t="s">
        <v>0</v>
      </c>
      <c r="J22" s="3"/>
      <c r="K22" s="3"/>
      <c r="L22" s="3"/>
      <c r="M22" s="3"/>
      <c r="N22" s="3"/>
      <c r="O22" s="3"/>
      <c r="P22" s="3"/>
      <c r="Q22" s="3"/>
      <c r="R22" s="3"/>
    </row>
    <row r="23" spans="2:21" ht="16.5" customHeight="1" x14ac:dyDescent="0.15">
      <c r="B23" s="3"/>
      <c r="C23" s="3"/>
      <c r="I23" s="3"/>
      <c r="J23" s="3"/>
      <c r="K23" s="3"/>
      <c r="L23" s="3"/>
      <c r="M23" s="3"/>
      <c r="N23" s="3"/>
      <c r="O23" s="3"/>
      <c r="P23" s="3"/>
      <c r="Q23" s="3"/>
      <c r="R23" s="3"/>
    </row>
    <row r="24" spans="2:21" ht="21.75" customHeight="1" x14ac:dyDescent="0.15">
      <c r="B24" s="3"/>
      <c r="C24" s="3" t="s">
        <v>13</v>
      </c>
      <c r="D24" s="196"/>
      <c r="E24" s="196"/>
      <c r="F24" s="196"/>
      <c r="G24" s="196"/>
      <c r="H24" s="196"/>
      <c r="I24" s="3"/>
      <c r="J24" s="3"/>
      <c r="K24" s="3"/>
      <c r="L24" s="3"/>
      <c r="M24" s="3"/>
      <c r="N24" s="3"/>
      <c r="O24" s="3"/>
      <c r="P24" s="3"/>
      <c r="Q24" s="3"/>
      <c r="R24" s="3"/>
    </row>
    <row r="25" spans="2:21" ht="12" customHeight="1" x14ac:dyDescent="0.15">
      <c r="C25" s="3"/>
      <c r="I25" s="3"/>
      <c r="J25" s="3"/>
      <c r="K25" s="3"/>
      <c r="L25" s="3"/>
      <c r="M25" s="3"/>
      <c r="N25" s="3"/>
      <c r="O25" s="3"/>
      <c r="P25" s="3"/>
      <c r="Q25" s="3"/>
      <c r="R25" s="3"/>
    </row>
    <row r="26" spans="2:21" ht="21.75" customHeight="1" x14ac:dyDescent="0.15">
      <c r="C26" s="3" t="s">
        <v>14</v>
      </c>
      <c r="D26" s="196"/>
      <c r="E26" s="196"/>
      <c r="F26" s="196"/>
      <c r="G26" s="196"/>
      <c r="H26" s="196"/>
      <c r="I26" s="3" t="s">
        <v>0</v>
      </c>
      <c r="J26" s="3"/>
      <c r="K26" s="3"/>
      <c r="L26" s="3"/>
      <c r="M26" s="3"/>
      <c r="N26" s="3"/>
      <c r="O26" s="3"/>
      <c r="P26" s="3"/>
      <c r="Q26" s="3"/>
      <c r="R26" s="3"/>
    </row>
    <row r="27" spans="2:21" ht="21" customHeight="1" x14ac:dyDescent="0.15">
      <c r="C27" s="3"/>
      <c r="I27" s="3"/>
      <c r="J27" s="3"/>
      <c r="K27" s="3"/>
      <c r="L27" s="3"/>
      <c r="M27" s="3"/>
      <c r="N27" s="3"/>
      <c r="O27" s="3"/>
      <c r="P27" s="3"/>
      <c r="Q27" s="3"/>
      <c r="R27" s="3"/>
    </row>
    <row r="28" spans="2:21" ht="21.75" customHeight="1" x14ac:dyDescent="0.15">
      <c r="B28" s="3" t="s">
        <v>12</v>
      </c>
      <c r="C28" s="3" t="s">
        <v>13</v>
      </c>
      <c r="D28" s="196"/>
      <c r="E28" s="196"/>
      <c r="F28" s="196"/>
      <c r="G28" s="196"/>
      <c r="H28" s="196"/>
      <c r="I28" s="3"/>
      <c r="J28" s="3"/>
      <c r="K28" s="3"/>
      <c r="L28" s="3"/>
      <c r="M28" s="3"/>
      <c r="N28" s="3"/>
      <c r="O28" s="3"/>
      <c r="P28" s="3"/>
      <c r="Q28" s="3"/>
      <c r="R28" s="3"/>
    </row>
    <row r="29" spans="2:21" ht="12" customHeight="1" x14ac:dyDescent="0.15">
      <c r="C29" s="3"/>
      <c r="I29" s="3"/>
      <c r="J29" s="3"/>
      <c r="K29" s="3"/>
      <c r="L29" s="3"/>
      <c r="M29" s="3"/>
      <c r="N29" s="3"/>
      <c r="O29" s="3"/>
      <c r="P29" s="3"/>
      <c r="Q29" s="3"/>
      <c r="R29" s="3"/>
    </row>
    <row r="30" spans="2:21" ht="21.75" customHeight="1" x14ac:dyDescent="0.15">
      <c r="C30" s="3" t="s">
        <v>14</v>
      </c>
      <c r="D30" s="196"/>
      <c r="E30" s="196"/>
      <c r="F30" s="196"/>
      <c r="G30" s="196"/>
      <c r="H30" s="196"/>
      <c r="I30" s="3" t="s">
        <v>0</v>
      </c>
      <c r="J30" s="3"/>
      <c r="K30" s="3"/>
      <c r="L30" s="3"/>
      <c r="M30" s="3"/>
      <c r="N30" s="3"/>
      <c r="O30" s="3"/>
      <c r="P30" s="3"/>
      <c r="Q30" s="3"/>
      <c r="R30" s="3"/>
    </row>
    <row r="31" spans="2:21" ht="16.5" customHeight="1" x14ac:dyDescent="0.15">
      <c r="C31" s="3"/>
      <c r="I31" s="3"/>
      <c r="J31" s="3"/>
      <c r="K31" s="3"/>
      <c r="L31" s="3"/>
      <c r="M31" s="3"/>
      <c r="N31" s="3"/>
      <c r="O31" s="3"/>
      <c r="P31" s="3"/>
      <c r="Q31" s="3"/>
      <c r="R31" s="3"/>
    </row>
    <row r="32" spans="2:21" ht="21.75" customHeight="1" x14ac:dyDescent="0.15">
      <c r="B32" s="3"/>
      <c r="C32" s="3" t="s">
        <v>13</v>
      </c>
      <c r="D32" s="196"/>
      <c r="E32" s="196"/>
      <c r="F32" s="196"/>
      <c r="G32" s="196"/>
      <c r="H32" s="196"/>
      <c r="I32" s="3"/>
      <c r="J32" s="3"/>
      <c r="K32" s="3"/>
      <c r="L32" s="3"/>
      <c r="M32" s="3"/>
      <c r="N32" s="3"/>
      <c r="O32" s="3"/>
      <c r="P32" s="3"/>
      <c r="Q32" s="3"/>
      <c r="R32" s="3"/>
    </row>
    <row r="33" spans="2:18" ht="12" customHeight="1" x14ac:dyDescent="0.15">
      <c r="C33" s="3"/>
      <c r="I33" s="3"/>
      <c r="J33" s="3"/>
      <c r="K33" s="3"/>
      <c r="L33" s="3"/>
      <c r="M33" s="3"/>
      <c r="N33" s="3"/>
      <c r="O33" s="3"/>
      <c r="P33" s="3"/>
      <c r="Q33" s="3"/>
      <c r="R33" s="3"/>
    </row>
    <row r="34" spans="2:18" ht="21.75" customHeight="1" x14ac:dyDescent="0.15">
      <c r="C34" s="3" t="s">
        <v>14</v>
      </c>
      <c r="D34" s="196"/>
      <c r="E34" s="196"/>
      <c r="F34" s="196"/>
      <c r="G34" s="196"/>
      <c r="H34" s="196"/>
      <c r="I34" s="3" t="s">
        <v>0</v>
      </c>
      <c r="J34" s="3"/>
      <c r="K34" s="3"/>
      <c r="L34" s="3"/>
      <c r="M34" s="3"/>
      <c r="N34" s="3"/>
      <c r="O34" s="3"/>
      <c r="P34" s="3"/>
      <c r="Q34" s="3"/>
      <c r="R34" s="3"/>
    </row>
    <row r="35" spans="2:18" ht="16.5" customHeight="1" x14ac:dyDescent="0.15">
      <c r="C35" s="3"/>
      <c r="I35" s="3"/>
      <c r="J35" s="3"/>
      <c r="K35" s="3"/>
      <c r="L35" s="3"/>
      <c r="M35" s="3"/>
      <c r="N35" s="3"/>
      <c r="O35" s="3"/>
      <c r="P35" s="3"/>
      <c r="Q35" s="3"/>
      <c r="R35" s="3"/>
    </row>
    <row r="36" spans="2:18" ht="21.75" customHeight="1" x14ac:dyDescent="0.15">
      <c r="B36" s="3"/>
      <c r="C36" s="3" t="s">
        <v>13</v>
      </c>
      <c r="D36" s="196"/>
      <c r="E36" s="196"/>
      <c r="F36" s="196"/>
      <c r="G36" s="196"/>
      <c r="H36" s="196"/>
      <c r="I36" s="3"/>
      <c r="J36" s="3"/>
      <c r="K36" s="3"/>
      <c r="L36" s="3"/>
      <c r="M36" s="3"/>
      <c r="N36" s="3"/>
      <c r="O36" s="3"/>
      <c r="P36" s="3"/>
      <c r="Q36" s="3"/>
      <c r="R36" s="3"/>
    </row>
    <row r="37" spans="2:18" ht="12" customHeight="1" x14ac:dyDescent="0.15">
      <c r="C37" s="3"/>
      <c r="I37" s="3"/>
      <c r="J37" s="3"/>
      <c r="K37" s="3"/>
      <c r="L37" s="3"/>
      <c r="M37" s="3"/>
      <c r="N37" s="3"/>
      <c r="O37" s="3"/>
      <c r="P37" s="3"/>
      <c r="Q37" s="3"/>
      <c r="R37" s="3"/>
    </row>
    <row r="38" spans="2:18" ht="21.75" customHeight="1" x14ac:dyDescent="0.15">
      <c r="C38" s="3" t="s">
        <v>14</v>
      </c>
      <c r="D38" s="196"/>
      <c r="E38" s="196"/>
      <c r="F38" s="196"/>
      <c r="G38" s="196"/>
      <c r="H38" s="196"/>
      <c r="I38" s="3" t="s">
        <v>0</v>
      </c>
      <c r="J38" s="3"/>
      <c r="K38" s="3"/>
      <c r="L38" s="3"/>
      <c r="M38" s="3"/>
      <c r="N38" s="3"/>
      <c r="O38" s="3"/>
      <c r="P38" s="3"/>
      <c r="Q38" s="3"/>
      <c r="R38" s="3"/>
    </row>
    <row r="40" spans="2:18" ht="27.75" customHeight="1" x14ac:dyDescent="0.15">
      <c r="C40" s="3"/>
      <c r="I40" s="3"/>
      <c r="J40" s="3"/>
      <c r="K40" s="3"/>
      <c r="L40" s="3"/>
      <c r="M40" s="3"/>
      <c r="N40" s="3"/>
      <c r="O40" s="3"/>
      <c r="P40" s="3"/>
      <c r="Q40" s="3"/>
      <c r="R40" s="3"/>
    </row>
    <row r="41" spans="2:18" ht="27.75" customHeight="1" x14ac:dyDescent="0.15">
      <c r="C41" s="3"/>
      <c r="I41" s="3"/>
      <c r="J41" s="3"/>
      <c r="K41" s="3"/>
      <c r="L41" s="3"/>
      <c r="M41" s="3"/>
      <c r="N41" s="3"/>
      <c r="O41" s="3"/>
      <c r="P41" s="3"/>
      <c r="Q41" s="3"/>
      <c r="R41" s="3"/>
    </row>
    <row r="42" spans="2:18" ht="27.75" customHeight="1" x14ac:dyDescent="0.15">
      <c r="C42" s="3"/>
      <c r="I42" s="3"/>
      <c r="J42" s="3"/>
      <c r="K42" s="3"/>
      <c r="L42" s="3"/>
      <c r="M42" s="3"/>
      <c r="N42" s="3"/>
      <c r="O42" s="3"/>
      <c r="P42" s="3"/>
      <c r="Q42" s="3"/>
      <c r="R42" s="3"/>
    </row>
  </sheetData>
  <mergeCells count="18">
    <mergeCell ref="A1:J1"/>
    <mergeCell ref="D28:H28"/>
    <mergeCell ref="D4:I4"/>
    <mergeCell ref="D18:H18"/>
    <mergeCell ref="D24:H24"/>
    <mergeCell ref="D26:H26"/>
    <mergeCell ref="D6:I6"/>
    <mergeCell ref="A11:J11"/>
    <mergeCell ref="A12:J12"/>
    <mergeCell ref="D38:H38"/>
    <mergeCell ref="D32:H32"/>
    <mergeCell ref="D34:H34"/>
    <mergeCell ref="A9:I9"/>
    <mergeCell ref="D16:H16"/>
    <mergeCell ref="D30:H30"/>
    <mergeCell ref="D20:H20"/>
    <mergeCell ref="D22:H22"/>
    <mergeCell ref="D36:H36"/>
  </mergeCells>
  <phoneticPr fontId="2"/>
  <dataValidations count="1">
    <dataValidation type="list" allowBlank="1" showInputMessage="1" sqref="D4:I4 D6:I6" xr:uid="{C630CE3F-6183-4CB8-8224-FD34AA0BE67C}">
      <formula1>$U$3:$U$17</formula1>
    </dataValidation>
  </dataValidations>
  <pageMargins left="1.19" right="0.78700000000000003" top="0.98399999999999999" bottom="0.98399999999999999" header="0.51200000000000001" footer="0.51200000000000001"/>
  <pageSetup paperSize="8" orientation="landscape" horizontalDpi="4294967292" verticalDpi="1200"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M47"/>
  <sheetViews>
    <sheetView showZeros="0" workbookViewId="0">
      <selection activeCell="C35" sqref="C35"/>
    </sheetView>
  </sheetViews>
  <sheetFormatPr defaultRowHeight="13.5" x14ac:dyDescent="0.15"/>
  <cols>
    <col min="1" max="1" width="3" customWidth="1"/>
    <col min="9" max="9" width="10.5" customWidth="1"/>
  </cols>
  <sheetData>
    <row r="1" spans="2:13" x14ac:dyDescent="0.15">
      <c r="G1" s="200">
        <v>39224</v>
      </c>
      <c r="H1" s="201"/>
      <c r="I1" s="201"/>
      <c r="L1" s="198">
        <f ca="1">TODAY()</f>
        <v>45779</v>
      </c>
      <c r="M1" s="198"/>
    </row>
    <row r="2" spans="2:13" x14ac:dyDescent="0.15">
      <c r="B2" s="181"/>
      <c r="C2" s="181"/>
    </row>
    <row r="3" spans="2:13" x14ac:dyDescent="0.15">
      <c r="B3" s="181"/>
      <c r="C3" s="181"/>
    </row>
    <row r="4" spans="2:13" x14ac:dyDescent="0.15">
      <c r="B4" s="181"/>
      <c r="C4" s="181"/>
      <c r="D4" t="s">
        <v>17</v>
      </c>
    </row>
    <row r="6" spans="2:13" ht="17.25" x14ac:dyDescent="0.15">
      <c r="C6" s="202" t="s">
        <v>22</v>
      </c>
      <c r="D6" s="202"/>
      <c r="E6" s="202"/>
      <c r="F6" s="202"/>
      <c r="G6" s="202"/>
    </row>
    <row r="9" spans="2:13" x14ac:dyDescent="0.15">
      <c r="B9" s="6"/>
    </row>
    <row r="10" spans="2:13" ht="15.75" customHeight="1" x14ac:dyDescent="0.15">
      <c r="B10" s="181" t="s">
        <v>65</v>
      </c>
      <c r="C10" s="181"/>
      <c r="D10" s="181"/>
      <c r="E10" s="181"/>
    </row>
    <row r="11" spans="2:13" ht="13.5" customHeight="1" x14ac:dyDescent="0.15">
      <c r="B11" s="181"/>
      <c r="C11" s="181"/>
      <c r="D11" s="181"/>
      <c r="E11" s="181"/>
      <c r="F11" s="181"/>
      <c r="G11" s="181"/>
      <c r="H11" s="181"/>
      <c r="I11" s="181"/>
    </row>
    <row r="12" spans="2:13" ht="33" customHeight="1" x14ac:dyDescent="0.15">
      <c r="B12" s="199" t="str">
        <f>"この度、下記土地所有者である"&amp;D33&amp;"様より,隣地土地所有者の方々に,境界立会並びに境界確認書の取交わしをお願いしたいとの依頼を受けました。"</f>
        <v>この度、下記土地所有者である株式会社リプロコミュニティー様より,隣地土地所有者の方々に,境界立会並びに境界確認書の取交わしをお願いしたいとの依頼を受けました。</v>
      </c>
      <c r="C12" s="199"/>
      <c r="D12" s="199"/>
      <c r="E12" s="199"/>
      <c r="F12" s="199"/>
      <c r="G12" s="199"/>
      <c r="H12" s="199"/>
      <c r="I12" s="199"/>
    </row>
    <row r="13" spans="2:13" ht="10.5" customHeight="1" x14ac:dyDescent="0.15">
      <c r="B13" s="199"/>
      <c r="C13" s="199"/>
      <c r="D13" s="199"/>
      <c r="E13" s="199"/>
      <c r="F13" s="199"/>
      <c r="G13" s="199"/>
      <c r="H13" s="199"/>
      <c r="I13" s="199"/>
    </row>
    <row r="14" spans="2:13" ht="34.5" customHeight="1" x14ac:dyDescent="0.15">
      <c r="B14" s="199" t="s">
        <v>66</v>
      </c>
      <c r="C14" s="199"/>
      <c r="D14" s="199"/>
      <c r="E14" s="199"/>
      <c r="F14" s="199"/>
      <c r="G14" s="199"/>
      <c r="H14" s="199"/>
      <c r="I14" s="199"/>
    </row>
    <row r="15" spans="2:13" ht="12" customHeight="1" x14ac:dyDescent="0.15">
      <c r="B15" s="11"/>
      <c r="C15" s="11"/>
      <c r="D15" s="11"/>
      <c r="E15" s="11"/>
      <c r="F15" s="11"/>
      <c r="G15" s="11"/>
      <c r="H15" s="11"/>
      <c r="I15" s="11"/>
    </row>
    <row r="16" spans="2:13" ht="40.5" customHeight="1" x14ac:dyDescent="0.15">
      <c r="B16" s="199" t="s">
        <v>69</v>
      </c>
      <c r="C16" s="199"/>
      <c r="D16" s="199"/>
      <c r="E16" s="199"/>
      <c r="F16" s="199"/>
      <c r="G16" s="199"/>
      <c r="H16" s="199"/>
      <c r="I16" s="199"/>
    </row>
    <row r="17" spans="2:9" ht="12.75" customHeight="1" x14ac:dyDescent="0.15"/>
    <row r="18" spans="2:9" ht="12" customHeight="1" x14ac:dyDescent="0.15">
      <c r="B18" s="199" t="s">
        <v>96</v>
      </c>
      <c r="C18" s="199"/>
      <c r="D18" s="199"/>
      <c r="E18" s="199"/>
      <c r="F18" s="199"/>
      <c r="G18" s="199"/>
      <c r="H18" s="199"/>
      <c r="I18" s="199"/>
    </row>
    <row r="19" spans="2:9" ht="25.5" customHeight="1" x14ac:dyDescent="0.15">
      <c r="B19" s="199"/>
      <c r="C19" s="199"/>
      <c r="D19" s="199"/>
      <c r="E19" s="199"/>
      <c r="F19" s="199"/>
      <c r="G19" s="199"/>
      <c r="H19" s="199"/>
      <c r="I19" s="199"/>
    </row>
    <row r="20" spans="2:9" ht="12" customHeight="1" x14ac:dyDescent="0.15">
      <c r="B20" s="11"/>
      <c r="C20" s="11"/>
      <c r="D20" s="11"/>
      <c r="E20" s="11"/>
      <c r="F20" s="11"/>
      <c r="G20" s="11"/>
      <c r="H20" s="11"/>
      <c r="I20" s="11"/>
    </row>
    <row r="21" spans="2:9" x14ac:dyDescent="0.15">
      <c r="B21" s="181" t="s">
        <v>67</v>
      </c>
      <c r="C21" s="181"/>
      <c r="D21" s="181"/>
      <c r="E21" s="181"/>
      <c r="F21" s="181"/>
      <c r="G21" s="181"/>
      <c r="H21" s="181"/>
      <c r="I21" s="181"/>
    </row>
    <row r="22" spans="2:9" x14ac:dyDescent="0.15">
      <c r="I22" s="16"/>
    </row>
    <row r="23" spans="2:9" ht="22.5" customHeight="1" x14ac:dyDescent="0.15">
      <c r="E23" s="17" t="s">
        <v>27</v>
      </c>
      <c r="I23" s="16"/>
    </row>
    <row r="24" spans="2:9" x14ac:dyDescent="0.15">
      <c r="E24" s="17"/>
      <c r="I24" s="16"/>
    </row>
    <row r="25" spans="2:9" ht="22.5" customHeight="1" x14ac:dyDescent="0.15">
      <c r="B25" s="18" t="s">
        <v>23</v>
      </c>
    </row>
    <row r="26" spans="2:9" x14ac:dyDescent="0.15">
      <c r="C26" t="s">
        <v>5</v>
      </c>
      <c r="D26">
        <f>入力シート!C4</f>
        <v>0</v>
      </c>
    </row>
    <row r="28" spans="2:9" x14ac:dyDescent="0.15">
      <c r="C28" t="s">
        <v>2</v>
      </c>
      <c r="D28" s="203" t="s">
        <v>120</v>
      </c>
      <c r="E28" s="203"/>
    </row>
    <row r="30" spans="2:9" hidden="1" x14ac:dyDescent="0.15"/>
    <row r="31" spans="2:9" ht="20.25" customHeight="1" x14ac:dyDescent="0.15">
      <c r="B31" s="18" t="s">
        <v>24</v>
      </c>
    </row>
    <row r="32" spans="2:9" ht="16.5" customHeight="1" x14ac:dyDescent="0.15">
      <c r="D32" s="197">
        <f>入力シート!F2</f>
        <v>0</v>
      </c>
      <c r="E32" s="197"/>
      <c r="F32" s="197"/>
      <c r="G32" t="str">
        <f>IF(D32=0,"","（被相続人）")</f>
        <v/>
      </c>
    </row>
    <row r="33" spans="2:8" ht="16.5" customHeight="1" x14ac:dyDescent="0.15">
      <c r="C33" t="s">
        <v>6</v>
      </c>
      <c r="D33" s="197" t="s">
        <v>119</v>
      </c>
      <c r="E33" s="197"/>
      <c r="F33" s="197"/>
      <c r="G33" t="str">
        <f>IF(D32=0,"","（相続人）")</f>
        <v/>
      </c>
    </row>
    <row r="34" spans="2:8" ht="16.5" hidden="1" customHeight="1" x14ac:dyDescent="0.15">
      <c r="D34" s="197" t="e">
        <f>入力シート!#REF!</f>
        <v>#REF!</v>
      </c>
      <c r="E34" s="197"/>
      <c r="F34" s="197"/>
      <c r="G34" t="str">
        <f>IF(D32=0,"",IF(D34=0,"","（相続人）"))</f>
        <v/>
      </c>
    </row>
    <row r="35" spans="2:8" ht="16.5" customHeight="1" x14ac:dyDescent="0.15">
      <c r="D35" s="197"/>
      <c r="E35" s="197"/>
      <c r="F35" s="197"/>
      <c r="G35" t="str">
        <f>IF(D32=0,"",IF(D35=0,"","（相続人）"))</f>
        <v/>
      </c>
    </row>
    <row r="36" spans="2:8" hidden="1" x14ac:dyDescent="0.15">
      <c r="D36" s="197"/>
      <c r="E36" s="197"/>
      <c r="F36" s="197"/>
    </row>
    <row r="37" spans="2:8" hidden="1" x14ac:dyDescent="0.15">
      <c r="D37" s="197" t="e">
        <f>入力シート!#REF!</f>
        <v>#REF!</v>
      </c>
      <c r="E37" s="197"/>
      <c r="F37" s="197"/>
      <c r="G37" t="str">
        <f>IF(D32=0,"",IF(D37=0,"","（相続人）"))</f>
        <v/>
      </c>
    </row>
    <row r="38" spans="2:8" ht="20.25" customHeight="1" x14ac:dyDescent="0.15">
      <c r="B38" s="18" t="s">
        <v>25</v>
      </c>
    </row>
    <row r="39" spans="2:8" ht="18.75" customHeight="1" x14ac:dyDescent="0.15">
      <c r="C39" t="s">
        <v>5</v>
      </c>
      <c r="D39" t="s">
        <v>112</v>
      </c>
    </row>
    <row r="40" spans="2:8" ht="18.75" customHeight="1" x14ac:dyDescent="0.15">
      <c r="D40" t="s">
        <v>114</v>
      </c>
    </row>
    <row r="41" spans="2:8" ht="18.75" customHeight="1" x14ac:dyDescent="0.15">
      <c r="D41" t="s">
        <v>85</v>
      </c>
    </row>
    <row r="42" spans="2:8" ht="18.75" customHeight="1" x14ac:dyDescent="0.15">
      <c r="C42" t="s">
        <v>6</v>
      </c>
      <c r="D42" t="s">
        <v>75</v>
      </c>
    </row>
    <row r="43" spans="2:8" ht="18.75" customHeight="1" x14ac:dyDescent="0.15">
      <c r="D43" s="16" t="s">
        <v>29</v>
      </c>
      <c r="E43" t="s">
        <v>87</v>
      </c>
    </row>
    <row r="44" spans="2:8" ht="18.75" customHeight="1" x14ac:dyDescent="0.15">
      <c r="D44" s="16" t="s">
        <v>30</v>
      </c>
      <c r="E44" t="s">
        <v>88</v>
      </c>
    </row>
    <row r="45" spans="2:8" ht="18.75" customHeight="1" x14ac:dyDescent="0.15">
      <c r="D45" s="16" t="s">
        <v>68</v>
      </c>
      <c r="E45" t="s">
        <v>74</v>
      </c>
    </row>
    <row r="46" spans="2:8" ht="18.75" customHeight="1" x14ac:dyDescent="0.15">
      <c r="D46" s="16" t="s">
        <v>101</v>
      </c>
      <c r="E46" s="8" t="s">
        <v>102</v>
      </c>
    </row>
    <row r="47" spans="2:8" ht="16.5" customHeight="1" x14ac:dyDescent="0.15">
      <c r="H47" t="s">
        <v>28</v>
      </c>
    </row>
  </sheetData>
  <mergeCells count="21">
    <mergeCell ref="L1:M1"/>
    <mergeCell ref="B11:I11"/>
    <mergeCell ref="B12:I12"/>
    <mergeCell ref="B13:I13"/>
    <mergeCell ref="D36:F36"/>
    <mergeCell ref="B21:I21"/>
    <mergeCell ref="B10:E10"/>
    <mergeCell ref="B18:I19"/>
    <mergeCell ref="G1:I1"/>
    <mergeCell ref="B14:I14"/>
    <mergeCell ref="C6:G6"/>
    <mergeCell ref="B4:C4"/>
    <mergeCell ref="B16:I16"/>
    <mergeCell ref="B2:C2"/>
    <mergeCell ref="B3:C3"/>
    <mergeCell ref="D28:E28"/>
    <mergeCell ref="D37:F37"/>
    <mergeCell ref="D33:F33"/>
    <mergeCell ref="D32:F32"/>
    <mergeCell ref="D34:F34"/>
    <mergeCell ref="D35:F35"/>
  </mergeCells>
  <phoneticPr fontId="2"/>
  <printOptions horizontalCentered="1"/>
  <pageMargins left="0.78740157480314965" right="0.78740157480314965" top="0.98425196850393704" bottom="0.98425196850393704" header="0.51181102362204722" footer="0.51181102362204722"/>
  <pageSetup paperSize="9" orientation="portrait" horizontalDpi="4294967292" verticalDpi="1200" r:id="rId1"/>
  <headerFooter alignWithMargins="0"/>
  <extLst>
    <ext xmlns:x14="http://schemas.microsoft.com/office/spreadsheetml/2009/9/main" uri="{CCE6A557-97BC-4b89-ADB6-D9C93CAAB3DF}">
      <x14:dataValidations xmlns:xm="http://schemas.microsoft.com/office/excel/2006/main" disablePrompts="1" count="3">
        <x14:dataValidation type="list" errorStyle="information" allowBlank="1" showInputMessage="1" xr:uid="{6954596D-4FD4-4F5D-A6A7-5AEE783531B2}">
          <x14:formula1>
            <xm:f>入力シート!$I$7:$I$21</xm:f>
          </x14:formula1>
          <xm:sqref>B4:C4</xm:sqref>
        </x14:dataValidation>
        <x14:dataValidation type="list" allowBlank="1" showInputMessage="1" xr:uid="{397AB792-5272-4C25-A24D-CA5F60E45127}">
          <x14:formula1>
            <xm:f>入力シート!$I$7:$I$21</xm:f>
          </x14:formula1>
          <xm:sqref>D33:F33</xm:sqref>
        </x14:dataValidation>
        <x14:dataValidation type="list" allowBlank="1" showInputMessage="1" xr:uid="{0462A4CD-DD94-4F89-A1E3-1761300D9D22}">
          <x14:formula1>
            <xm:f>入力シート!$D$7:$D$21</xm:f>
          </x14:formula1>
          <xm:sqref>D28</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3E3F87-2327-4AFA-B61F-A17F8D59BF7D}">
  <dimension ref="B1:M49"/>
  <sheetViews>
    <sheetView showZeros="0" topLeftCell="A19" workbookViewId="0">
      <selection activeCell="C37" sqref="C37"/>
    </sheetView>
  </sheetViews>
  <sheetFormatPr defaultRowHeight="13.5" x14ac:dyDescent="0.15"/>
  <cols>
    <col min="1" max="1" width="3" customWidth="1"/>
    <col min="9" max="9" width="10.5" customWidth="1"/>
  </cols>
  <sheetData>
    <row r="1" spans="2:13" x14ac:dyDescent="0.15">
      <c r="G1" s="205">
        <f ca="1">+TODAY()</f>
        <v>45779</v>
      </c>
      <c r="H1" s="205"/>
      <c r="I1" s="205"/>
      <c r="L1" s="198">
        <f ca="1">TODAY()</f>
        <v>45779</v>
      </c>
      <c r="M1" s="198"/>
    </row>
    <row r="2" spans="2:13" x14ac:dyDescent="0.15">
      <c r="B2" s="181"/>
      <c r="C2" s="181"/>
    </row>
    <row r="3" spans="2:13" x14ac:dyDescent="0.15">
      <c r="B3" s="181"/>
      <c r="C3" s="181"/>
      <c r="D3" t="s">
        <v>17</v>
      </c>
    </row>
    <row r="4" spans="2:13" x14ac:dyDescent="0.15">
      <c r="B4" s="168"/>
      <c r="C4" s="168"/>
    </row>
    <row r="6" spans="2:13" ht="17.25" x14ac:dyDescent="0.15">
      <c r="C6" s="202" t="s">
        <v>108</v>
      </c>
      <c r="D6" s="202"/>
      <c r="E6" s="202"/>
      <c r="F6" s="202"/>
      <c r="G6" s="202"/>
    </row>
    <row r="8" spans="2:13" hidden="1" x14ac:dyDescent="0.15"/>
    <row r="9" spans="2:13" x14ac:dyDescent="0.15">
      <c r="B9" s="6"/>
    </row>
    <row r="10" spans="2:13" ht="15.75" customHeight="1" x14ac:dyDescent="0.15">
      <c r="B10" s="181" t="s">
        <v>65</v>
      </c>
      <c r="C10" s="181"/>
      <c r="D10" s="181"/>
      <c r="E10" s="181"/>
    </row>
    <row r="11" spans="2:13" ht="13.5" customHeight="1" x14ac:dyDescent="0.15">
      <c r="B11" s="181"/>
      <c r="C11" s="181"/>
      <c r="D11" s="181"/>
      <c r="E11" s="181"/>
      <c r="F11" s="181"/>
      <c r="G11" s="181"/>
      <c r="H11" s="181"/>
      <c r="I11" s="181"/>
    </row>
    <row r="12" spans="2:13" ht="50.25" customHeight="1" x14ac:dyDescent="0.15">
      <c r="B12" s="199" t="s">
        <v>109</v>
      </c>
      <c r="C12" s="199"/>
      <c r="D12" s="199"/>
      <c r="E12" s="199"/>
      <c r="F12" s="199"/>
      <c r="G12" s="199"/>
      <c r="H12" s="199"/>
      <c r="I12" s="199"/>
    </row>
    <row r="13" spans="2:13" ht="10.5" customHeight="1" x14ac:dyDescent="0.15">
      <c r="B13" s="199"/>
      <c r="C13" s="199"/>
      <c r="D13" s="199"/>
      <c r="E13" s="199"/>
      <c r="F13" s="199"/>
      <c r="G13" s="199"/>
      <c r="H13" s="199"/>
      <c r="I13" s="199"/>
    </row>
    <row r="14" spans="2:13" ht="34.5" customHeight="1" x14ac:dyDescent="0.15">
      <c r="B14" s="199" t="s">
        <v>66</v>
      </c>
      <c r="C14" s="199"/>
      <c r="D14" s="199"/>
      <c r="E14" s="199"/>
      <c r="F14" s="199"/>
      <c r="G14" s="199"/>
      <c r="H14" s="199"/>
      <c r="I14" s="199"/>
    </row>
    <row r="15" spans="2:13" ht="12" customHeight="1" x14ac:dyDescent="0.15">
      <c r="B15" s="11"/>
      <c r="C15" s="11"/>
      <c r="D15" s="11"/>
      <c r="E15" s="11"/>
      <c r="F15" s="11"/>
      <c r="G15" s="11"/>
      <c r="H15" s="11"/>
      <c r="I15" s="11"/>
    </row>
    <row r="16" spans="2:13" ht="40.5" customHeight="1" x14ac:dyDescent="0.15">
      <c r="B16" s="199" t="s">
        <v>110</v>
      </c>
      <c r="C16" s="199"/>
      <c r="D16" s="199"/>
      <c r="E16" s="199"/>
      <c r="F16" s="199"/>
      <c r="G16" s="199"/>
      <c r="H16" s="199"/>
      <c r="I16" s="199"/>
    </row>
    <row r="17" spans="2:9" ht="40.5" customHeight="1" x14ac:dyDescent="0.15">
      <c r="B17" s="204" t="s">
        <v>107</v>
      </c>
      <c r="C17" s="204"/>
      <c r="D17" s="204"/>
      <c r="E17" s="204"/>
      <c r="F17" s="204"/>
      <c r="G17" s="204"/>
      <c r="H17" s="204"/>
      <c r="I17" s="204"/>
    </row>
    <row r="18" spans="2:9" ht="40.5" customHeight="1" x14ac:dyDescent="0.15">
      <c r="B18" s="204" t="s">
        <v>106</v>
      </c>
      <c r="C18" s="204"/>
      <c r="D18" s="204"/>
      <c r="E18" s="204"/>
      <c r="F18" s="204"/>
      <c r="G18" s="204"/>
      <c r="H18" s="204"/>
      <c r="I18" s="204"/>
    </row>
    <row r="19" spans="2:9" ht="12.75" customHeight="1" x14ac:dyDescent="0.15"/>
    <row r="20" spans="2:9" ht="12" hidden="1" customHeight="1" x14ac:dyDescent="0.15">
      <c r="B20" s="199"/>
      <c r="C20" s="199"/>
      <c r="D20" s="199"/>
      <c r="E20" s="199"/>
      <c r="F20" s="199"/>
      <c r="G20" s="199"/>
      <c r="H20" s="199"/>
      <c r="I20" s="199"/>
    </row>
    <row r="21" spans="2:9" ht="21" hidden="1" customHeight="1" x14ac:dyDescent="0.15">
      <c r="B21" s="199"/>
      <c r="C21" s="199"/>
      <c r="D21" s="199"/>
      <c r="E21" s="199"/>
      <c r="F21" s="199"/>
      <c r="G21" s="199"/>
      <c r="H21" s="199"/>
      <c r="I21" s="199"/>
    </row>
    <row r="22" spans="2:9" ht="12" hidden="1" customHeight="1" x14ac:dyDescent="0.15">
      <c r="B22" s="11"/>
      <c r="C22" s="11"/>
      <c r="D22" s="11"/>
      <c r="E22" s="11"/>
      <c r="F22" s="11"/>
      <c r="G22" s="11"/>
      <c r="H22" s="11"/>
      <c r="I22" s="11"/>
    </row>
    <row r="23" spans="2:9" ht="27.75" customHeight="1" x14ac:dyDescent="0.15">
      <c r="B23" s="199" t="s">
        <v>105</v>
      </c>
      <c r="C23" s="199"/>
      <c r="D23" s="199"/>
      <c r="E23" s="199"/>
      <c r="F23" s="199"/>
      <c r="G23" s="199"/>
      <c r="H23" s="199"/>
      <c r="I23" s="199"/>
    </row>
    <row r="24" spans="2:9" x14ac:dyDescent="0.15">
      <c r="I24" s="16"/>
    </row>
    <row r="25" spans="2:9" ht="22.5" customHeight="1" x14ac:dyDescent="0.15">
      <c r="E25" s="17" t="s">
        <v>27</v>
      </c>
      <c r="I25" s="16"/>
    </row>
    <row r="26" spans="2:9" x14ac:dyDescent="0.15">
      <c r="E26" s="17"/>
      <c r="I26" s="16"/>
    </row>
    <row r="27" spans="2:9" ht="22.5" customHeight="1" x14ac:dyDescent="0.15">
      <c r="B27" s="18" t="s">
        <v>111</v>
      </c>
    </row>
    <row r="28" spans="2:9" x14ac:dyDescent="0.15">
      <c r="C28" t="s">
        <v>5</v>
      </c>
      <c r="D28">
        <f>入力シート!C4</f>
        <v>0</v>
      </c>
    </row>
    <row r="30" spans="2:9" x14ac:dyDescent="0.15">
      <c r="C30" t="s">
        <v>2</v>
      </c>
      <c r="D30" s="203" t="s">
        <v>120</v>
      </c>
      <c r="E30" s="203"/>
    </row>
    <row r="32" spans="2:9" hidden="1" x14ac:dyDescent="0.15"/>
    <row r="33" spans="2:7" ht="20.25" customHeight="1" x14ac:dyDescent="0.15">
      <c r="B33" s="18" t="s">
        <v>24</v>
      </c>
    </row>
    <row r="34" spans="2:7" ht="16.5" customHeight="1" x14ac:dyDescent="0.15">
      <c r="D34" s="197"/>
      <c r="E34" s="197"/>
      <c r="F34" s="197"/>
      <c r="G34" t="str">
        <f>IF(D34=0,"","（被相続人）")</f>
        <v/>
      </c>
    </row>
    <row r="35" spans="2:7" ht="16.5" customHeight="1" x14ac:dyDescent="0.15">
      <c r="C35" t="s">
        <v>6</v>
      </c>
      <c r="D35" s="197" t="s">
        <v>119</v>
      </c>
      <c r="E35" s="197"/>
      <c r="F35" s="197"/>
      <c r="G35" t="str">
        <f>IF(D34=0,"","（相続人）")</f>
        <v/>
      </c>
    </row>
    <row r="36" spans="2:7" ht="16.5" customHeight="1" x14ac:dyDescent="0.15">
      <c r="D36" s="197"/>
      <c r="E36" s="197"/>
      <c r="F36" s="197"/>
      <c r="G36" t="str">
        <f>IF(D34=0,"",IF(D36=0,"","（相続人）"))</f>
        <v/>
      </c>
    </row>
    <row r="37" spans="2:7" ht="16.5" customHeight="1" x14ac:dyDescent="0.15">
      <c r="D37" s="197"/>
      <c r="E37" s="197"/>
      <c r="F37" s="197"/>
      <c r="G37" t="str">
        <f>IF(D34=0,"",IF(D37=0,"","（相続人）"))</f>
        <v/>
      </c>
    </row>
    <row r="38" spans="2:7" hidden="1" x14ac:dyDescent="0.15">
      <c r="D38" s="197"/>
      <c r="E38" s="197"/>
      <c r="F38" s="197"/>
    </row>
    <row r="39" spans="2:7" hidden="1" x14ac:dyDescent="0.15">
      <c r="D39" s="197">
        <v>0</v>
      </c>
      <c r="E39" s="197"/>
      <c r="F39" s="197"/>
      <c r="G39" t="str">
        <f>IF(D34=0,"",IF(D39=0,"","（相続人）"))</f>
        <v/>
      </c>
    </row>
    <row r="40" spans="2:7" ht="20.25" customHeight="1" x14ac:dyDescent="0.15">
      <c r="B40" s="18" t="s">
        <v>25</v>
      </c>
    </row>
    <row r="41" spans="2:7" ht="18.75" customHeight="1" x14ac:dyDescent="0.15">
      <c r="C41" t="s">
        <v>5</v>
      </c>
      <c r="D41" t="s">
        <v>112</v>
      </c>
    </row>
    <row r="42" spans="2:7" ht="18.75" customHeight="1" x14ac:dyDescent="0.15">
      <c r="D42" t="s">
        <v>114</v>
      </c>
    </row>
    <row r="43" spans="2:7" ht="18.75" customHeight="1" x14ac:dyDescent="0.15">
      <c r="D43" t="s">
        <v>85</v>
      </c>
    </row>
    <row r="44" spans="2:7" ht="18.75" customHeight="1" x14ac:dyDescent="0.15">
      <c r="C44" t="s">
        <v>6</v>
      </c>
      <c r="D44" t="s">
        <v>75</v>
      </c>
    </row>
    <row r="45" spans="2:7" ht="18.75" customHeight="1" x14ac:dyDescent="0.15">
      <c r="D45" s="16" t="s">
        <v>29</v>
      </c>
      <c r="E45" t="s">
        <v>87</v>
      </c>
    </row>
    <row r="46" spans="2:7" ht="18.75" customHeight="1" x14ac:dyDescent="0.15">
      <c r="D46" s="16" t="s">
        <v>30</v>
      </c>
      <c r="E46" t="s">
        <v>88</v>
      </c>
    </row>
    <row r="47" spans="2:7" ht="18.75" customHeight="1" x14ac:dyDescent="0.15">
      <c r="D47" s="16" t="s">
        <v>68</v>
      </c>
      <c r="E47" t="s">
        <v>74</v>
      </c>
    </row>
    <row r="48" spans="2:7" ht="18.75" customHeight="1" x14ac:dyDescent="0.15">
      <c r="D48" s="16" t="s">
        <v>103</v>
      </c>
      <c r="E48" s="8" t="s">
        <v>102</v>
      </c>
    </row>
    <row r="49" spans="8:8" ht="16.5" customHeight="1" x14ac:dyDescent="0.15">
      <c r="H49" t="s">
        <v>28</v>
      </c>
    </row>
  </sheetData>
  <mergeCells count="23">
    <mergeCell ref="G1:I1"/>
    <mergeCell ref="L1:M1"/>
    <mergeCell ref="B2:C2"/>
    <mergeCell ref="B3:C3"/>
    <mergeCell ref="B4:C4"/>
    <mergeCell ref="C6:G6"/>
    <mergeCell ref="B10:E10"/>
    <mergeCell ref="B11:I11"/>
    <mergeCell ref="B12:I12"/>
    <mergeCell ref="B13:I13"/>
    <mergeCell ref="B14:I14"/>
    <mergeCell ref="B16:I16"/>
    <mergeCell ref="D36:F36"/>
    <mergeCell ref="D37:F37"/>
    <mergeCell ref="D38:F38"/>
    <mergeCell ref="D39:F39"/>
    <mergeCell ref="B17:I17"/>
    <mergeCell ref="B18:I18"/>
    <mergeCell ref="B20:I21"/>
    <mergeCell ref="B23:I23"/>
    <mergeCell ref="D34:F34"/>
    <mergeCell ref="D35:F35"/>
    <mergeCell ref="D30:E30"/>
  </mergeCells>
  <phoneticPr fontId="2"/>
  <printOptions horizontalCentered="1"/>
  <pageMargins left="0.25" right="0.25" top="0.75" bottom="0.75" header="0.3" footer="0.3"/>
  <pageSetup paperSize="9" orientation="portrait" verticalDpi="1200" r:id="rId1"/>
  <headerFooter alignWithMargins="0"/>
  <extLst>
    <ext xmlns:x14="http://schemas.microsoft.com/office/spreadsheetml/2009/9/main" uri="{CCE6A557-97BC-4b89-ADB6-D9C93CAAB3DF}">
      <x14:dataValidations xmlns:xm="http://schemas.microsoft.com/office/excel/2006/main" count="3">
        <x14:dataValidation type="list" errorStyle="information" allowBlank="1" showInputMessage="1" xr:uid="{B9E3C212-7F6E-4583-97EE-877F64B4132E}">
          <x14:formula1>
            <xm:f>入力シート!$I$7:$I$21</xm:f>
          </x14:formula1>
          <xm:sqref>B3:C3</xm:sqref>
        </x14:dataValidation>
        <x14:dataValidation type="list" allowBlank="1" showInputMessage="1" xr:uid="{CEBCF0DA-AA0C-4E84-832C-58866B0B1470}">
          <x14:formula1>
            <xm:f>入力シート!$D$7:$D$21</xm:f>
          </x14:formula1>
          <xm:sqref>D30</xm:sqref>
        </x14:dataValidation>
        <x14:dataValidation type="list" allowBlank="1" showInputMessage="1" xr:uid="{79E51013-BF08-4E07-9D0F-304A34CD563D}">
          <x14:formula1>
            <xm:f>入力シート!$I$7:$I$21</xm:f>
          </x14:formula1>
          <xm:sqref>D35:F35</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1:M47"/>
  <sheetViews>
    <sheetView showZeros="0" workbookViewId="0">
      <selection activeCell="C34" sqref="C34"/>
    </sheetView>
  </sheetViews>
  <sheetFormatPr defaultRowHeight="13.5" x14ac:dyDescent="0.15"/>
  <cols>
    <col min="1" max="1" width="3" customWidth="1"/>
    <col min="9" max="9" width="10.5" customWidth="1"/>
  </cols>
  <sheetData>
    <row r="1" spans="2:13" x14ac:dyDescent="0.15">
      <c r="G1" s="205">
        <f ca="1">+TODAY()</f>
        <v>45779</v>
      </c>
      <c r="H1" s="205"/>
      <c r="I1" s="205"/>
      <c r="L1" s="198">
        <f ca="1">TODAY()</f>
        <v>45779</v>
      </c>
      <c r="M1" s="198"/>
    </row>
    <row r="2" spans="2:13" x14ac:dyDescent="0.15">
      <c r="B2" s="181"/>
      <c r="C2" s="181"/>
    </row>
    <row r="3" spans="2:13" x14ac:dyDescent="0.15">
      <c r="B3" s="181" t="s">
        <v>78</v>
      </c>
      <c r="C3" s="181"/>
      <c r="D3" t="s">
        <v>17</v>
      </c>
    </row>
    <row r="4" spans="2:13" x14ac:dyDescent="0.15">
      <c r="B4" s="181"/>
      <c r="C4" s="181"/>
    </row>
    <row r="6" spans="2:13" ht="17.25" x14ac:dyDescent="0.15">
      <c r="C6" s="202" t="s">
        <v>22</v>
      </c>
      <c r="D6" s="202"/>
      <c r="E6" s="202"/>
      <c r="F6" s="202"/>
      <c r="G6" s="202"/>
    </row>
    <row r="9" spans="2:13" x14ac:dyDescent="0.15">
      <c r="B9" s="6"/>
    </row>
    <row r="10" spans="2:13" ht="15.75" customHeight="1" x14ac:dyDescent="0.15">
      <c r="B10" s="181" t="s">
        <v>65</v>
      </c>
      <c r="C10" s="181"/>
      <c r="D10" s="181"/>
      <c r="E10" s="181"/>
    </row>
    <row r="11" spans="2:13" ht="13.5" customHeight="1" x14ac:dyDescent="0.15">
      <c r="B11" s="181"/>
      <c r="C11" s="181"/>
      <c r="D11" s="181"/>
      <c r="E11" s="181"/>
      <c r="F11" s="181"/>
      <c r="G11" s="181"/>
      <c r="H11" s="181"/>
      <c r="I11" s="181"/>
    </row>
    <row r="12" spans="2:13" ht="33" customHeight="1" x14ac:dyDescent="0.15">
      <c r="B12" s="199" t="s">
        <v>77</v>
      </c>
      <c r="C12" s="199"/>
      <c r="D12" s="199"/>
      <c r="E12" s="199"/>
      <c r="F12" s="199"/>
      <c r="G12" s="199"/>
      <c r="H12" s="199"/>
      <c r="I12" s="199"/>
    </row>
    <row r="13" spans="2:13" ht="10.5" customHeight="1" x14ac:dyDescent="0.15">
      <c r="B13" s="199"/>
      <c r="C13" s="199"/>
      <c r="D13" s="199"/>
      <c r="E13" s="199"/>
      <c r="F13" s="199"/>
      <c r="G13" s="199"/>
      <c r="H13" s="199"/>
      <c r="I13" s="199"/>
    </row>
    <row r="14" spans="2:13" ht="34.5" customHeight="1" x14ac:dyDescent="0.15">
      <c r="B14" s="199" t="s">
        <v>66</v>
      </c>
      <c r="C14" s="199"/>
      <c r="D14" s="199"/>
      <c r="E14" s="199"/>
      <c r="F14" s="199"/>
      <c r="G14" s="199"/>
      <c r="H14" s="199"/>
      <c r="I14" s="199"/>
    </row>
    <row r="15" spans="2:13" ht="12" customHeight="1" x14ac:dyDescent="0.15">
      <c r="B15" s="11"/>
      <c r="C15" s="11"/>
      <c r="D15" s="11"/>
      <c r="E15" s="11"/>
      <c r="F15" s="11"/>
      <c r="G15" s="11"/>
      <c r="H15" s="11"/>
      <c r="I15" s="11"/>
    </row>
    <row r="16" spans="2:13" ht="40.5" customHeight="1" x14ac:dyDescent="0.15">
      <c r="B16" s="199" t="s">
        <v>91</v>
      </c>
      <c r="C16" s="199"/>
      <c r="D16" s="199"/>
      <c r="E16" s="199"/>
      <c r="F16" s="199"/>
      <c r="G16" s="199"/>
      <c r="H16" s="199"/>
      <c r="I16" s="199"/>
    </row>
    <row r="17" spans="2:9" ht="12.75" customHeight="1" x14ac:dyDescent="0.15"/>
    <row r="18" spans="2:9" ht="12" hidden="1" customHeight="1" x14ac:dyDescent="0.15">
      <c r="B18" s="199"/>
      <c r="C18" s="199"/>
      <c r="D18" s="199"/>
      <c r="E18" s="199"/>
      <c r="F18" s="199"/>
      <c r="G18" s="199"/>
      <c r="H18" s="199"/>
      <c r="I18" s="199"/>
    </row>
    <row r="19" spans="2:9" ht="21" hidden="1" customHeight="1" x14ac:dyDescent="0.15">
      <c r="B19" s="199"/>
      <c r="C19" s="199"/>
      <c r="D19" s="199"/>
      <c r="E19" s="199"/>
      <c r="F19" s="199"/>
      <c r="G19" s="199"/>
      <c r="H19" s="199"/>
      <c r="I19" s="199"/>
    </row>
    <row r="20" spans="2:9" ht="12" hidden="1" customHeight="1" x14ac:dyDescent="0.15">
      <c r="B20" s="11"/>
      <c r="C20" s="11"/>
      <c r="D20" s="11"/>
      <c r="E20" s="11"/>
      <c r="F20" s="11"/>
      <c r="G20" s="11"/>
      <c r="H20" s="11"/>
      <c r="I20" s="11"/>
    </row>
    <row r="21" spans="2:9" x14ac:dyDescent="0.15">
      <c r="B21" s="181" t="s">
        <v>67</v>
      </c>
      <c r="C21" s="181"/>
      <c r="D21" s="181"/>
      <c r="E21" s="181"/>
      <c r="F21" s="181"/>
      <c r="G21" s="181"/>
      <c r="H21" s="181"/>
      <c r="I21" s="181"/>
    </row>
    <row r="22" spans="2:9" x14ac:dyDescent="0.15">
      <c r="I22" s="16"/>
    </row>
    <row r="23" spans="2:9" ht="22.5" customHeight="1" x14ac:dyDescent="0.15">
      <c r="E23" s="17" t="s">
        <v>27</v>
      </c>
      <c r="I23" s="16"/>
    </row>
    <row r="24" spans="2:9" x14ac:dyDescent="0.15">
      <c r="E24" s="17"/>
      <c r="I24" s="16"/>
    </row>
    <row r="25" spans="2:9" ht="22.5" customHeight="1" x14ac:dyDescent="0.15">
      <c r="B25" s="18" t="s">
        <v>23</v>
      </c>
    </row>
    <row r="26" spans="2:9" x14ac:dyDescent="0.15">
      <c r="C26" t="s">
        <v>5</v>
      </c>
      <c r="D26">
        <f>入力シート!C4</f>
        <v>0</v>
      </c>
    </row>
    <row r="28" spans="2:9" x14ac:dyDescent="0.15">
      <c r="C28" t="s">
        <v>2</v>
      </c>
      <c r="D28" s="203" t="s">
        <v>120</v>
      </c>
      <c r="E28" s="203"/>
    </row>
    <row r="30" spans="2:9" hidden="1" x14ac:dyDescent="0.15"/>
    <row r="31" spans="2:9" ht="20.25" customHeight="1" x14ac:dyDescent="0.15">
      <c r="B31" s="18" t="s">
        <v>24</v>
      </c>
    </row>
    <row r="32" spans="2:9" ht="16.5" customHeight="1" x14ac:dyDescent="0.15">
      <c r="D32" s="197"/>
      <c r="E32" s="197"/>
      <c r="F32" s="197"/>
      <c r="G32" t="str">
        <f>IF(D32=0,"","（被相続人）")</f>
        <v/>
      </c>
    </row>
    <row r="33" spans="2:8" ht="16.5" customHeight="1" x14ac:dyDescent="0.15">
      <c r="C33" t="s">
        <v>6</v>
      </c>
      <c r="D33" s="197" t="s">
        <v>119</v>
      </c>
      <c r="E33" s="197"/>
      <c r="F33" s="197"/>
      <c r="G33" t="str">
        <f>IF(D32=0,"","（相続人）")</f>
        <v/>
      </c>
    </row>
    <row r="34" spans="2:8" ht="16.5" customHeight="1" x14ac:dyDescent="0.15">
      <c r="D34" s="197"/>
      <c r="E34" s="197"/>
      <c r="F34" s="197"/>
      <c r="G34" t="str">
        <f>IF(D32=0,"",IF(D34=0,"","（相続人）"))</f>
        <v/>
      </c>
    </row>
    <row r="35" spans="2:8" ht="16.5" customHeight="1" x14ac:dyDescent="0.15">
      <c r="D35" s="197"/>
      <c r="E35" s="197"/>
      <c r="F35" s="197"/>
      <c r="G35" t="str">
        <f>IF(D32=0,"",IF(D35=0,"","（相続人）"))</f>
        <v/>
      </c>
    </row>
    <row r="36" spans="2:8" hidden="1" x14ac:dyDescent="0.15">
      <c r="D36" s="197"/>
      <c r="E36" s="197"/>
      <c r="F36" s="197"/>
    </row>
    <row r="37" spans="2:8" hidden="1" x14ac:dyDescent="0.15">
      <c r="D37" s="197" t="e">
        <f>入力シート!#REF!</f>
        <v>#REF!</v>
      </c>
      <c r="E37" s="197"/>
      <c r="F37" s="197"/>
      <c r="G37" t="str">
        <f>IF(D32=0,"",IF(D37=0,"","（相続人）"))</f>
        <v/>
      </c>
    </row>
    <row r="38" spans="2:8" ht="20.25" customHeight="1" x14ac:dyDescent="0.15">
      <c r="B38" s="18" t="s">
        <v>25</v>
      </c>
    </row>
    <row r="39" spans="2:8" ht="18.75" customHeight="1" x14ac:dyDescent="0.15">
      <c r="C39" t="s">
        <v>5</v>
      </c>
      <c r="D39" t="s">
        <v>112</v>
      </c>
    </row>
    <row r="40" spans="2:8" ht="18.75" customHeight="1" x14ac:dyDescent="0.15">
      <c r="D40" t="s">
        <v>114</v>
      </c>
    </row>
    <row r="41" spans="2:8" ht="18.75" customHeight="1" x14ac:dyDescent="0.15">
      <c r="D41" t="s">
        <v>85</v>
      </c>
    </row>
    <row r="42" spans="2:8" ht="18.75" customHeight="1" x14ac:dyDescent="0.15">
      <c r="C42" t="s">
        <v>6</v>
      </c>
      <c r="D42" t="s">
        <v>75</v>
      </c>
    </row>
    <row r="43" spans="2:8" ht="18.75" customHeight="1" x14ac:dyDescent="0.15">
      <c r="D43" s="16" t="s">
        <v>29</v>
      </c>
      <c r="E43" t="s">
        <v>87</v>
      </c>
    </row>
    <row r="44" spans="2:8" ht="18.75" customHeight="1" x14ac:dyDescent="0.15">
      <c r="D44" s="16" t="s">
        <v>30</v>
      </c>
      <c r="E44" t="s">
        <v>88</v>
      </c>
    </row>
    <row r="45" spans="2:8" ht="18.75" customHeight="1" x14ac:dyDescent="0.15">
      <c r="D45" s="16" t="s">
        <v>68</v>
      </c>
      <c r="E45" t="s">
        <v>74</v>
      </c>
    </row>
    <row r="46" spans="2:8" ht="18.75" customHeight="1" x14ac:dyDescent="0.15">
      <c r="D46" s="16" t="s">
        <v>103</v>
      </c>
      <c r="E46" s="8" t="s">
        <v>104</v>
      </c>
    </row>
    <row r="47" spans="2:8" ht="16.5" customHeight="1" x14ac:dyDescent="0.15">
      <c r="H47" t="s">
        <v>28</v>
      </c>
    </row>
  </sheetData>
  <mergeCells count="21">
    <mergeCell ref="D37:F37"/>
    <mergeCell ref="D33:F33"/>
    <mergeCell ref="D32:F32"/>
    <mergeCell ref="D34:F34"/>
    <mergeCell ref="D35:F35"/>
    <mergeCell ref="C6:G6"/>
    <mergeCell ref="B4:C4"/>
    <mergeCell ref="L1:M1"/>
    <mergeCell ref="D36:F36"/>
    <mergeCell ref="B16:I16"/>
    <mergeCell ref="B2:C2"/>
    <mergeCell ref="B3:C3"/>
    <mergeCell ref="B21:I21"/>
    <mergeCell ref="B10:E10"/>
    <mergeCell ref="B18:I19"/>
    <mergeCell ref="G1:I1"/>
    <mergeCell ref="B14:I14"/>
    <mergeCell ref="B11:I11"/>
    <mergeCell ref="B12:I12"/>
    <mergeCell ref="B13:I13"/>
    <mergeCell ref="D28:E28"/>
  </mergeCells>
  <phoneticPr fontId="2"/>
  <printOptions horizontalCentered="1"/>
  <pageMargins left="0.78740157480314965" right="0.78740157480314965" top="0.98425196850393704" bottom="0.98425196850393704" header="0.51181102362204722" footer="0.51181102362204722"/>
  <pageSetup paperSize="9" orientation="portrait" horizontalDpi="4294967292" verticalDpi="1200" r:id="rId1"/>
  <headerFooter alignWithMargins="0"/>
  <extLst>
    <ext xmlns:x14="http://schemas.microsoft.com/office/spreadsheetml/2009/9/main" uri="{CCE6A557-97BC-4b89-ADB6-D9C93CAAB3DF}">
      <x14:dataValidations xmlns:xm="http://schemas.microsoft.com/office/excel/2006/main" count="2">
        <x14:dataValidation type="list" allowBlank="1" showInputMessage="1" xr:uid="{F69D3517-5B00-4F35-AD97-68ABD977C559}">
          <x14:formula1>
            <xm:f>入力シート!$D$7:$D$21</xm:f>
          </x14:formula1>
          <xm:sqref>D28</xm:sqref>
        </x14:dataValidation>
        <x14:dataValidation type="list" allowBlank="1" showInputMessage="1" xr:uid="{3E3CF5C4-E23F-49CB-A820-913F4386FB05}">
          <x14:formula1>
            <xm:f>入力シート!$I$7:$I$21</xm:f>
          </x14:formula1>
          <xm:sqref>D33:F33</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73"/>
  <sheetViews>
    <sheetView zoomScale="75" workbookViewId="0">
      <selection activeCell="B68" sqref="B68"/>
    </sheetView>
  </sheetViews>
  <sheetFormatPr defaultRowHeight="13.5" outlineLevelRow="1" x14ac:dyDescent="0.15"/>
  <cols>
    <col min="1" max="1" width="22.25" style="1" customWidth="1"/>
    <col min="2" max="2" width="11.5" style="1" customWidth="1"/>
    <col min="3" max="3" width="28" style="1" customWidth="1"/>
    <col min="4" max="4" width="9.375" style="1" customWidth="1"/>
    <col min="5" max="5" width="12.375" style="1" customWidth="1"/>
    <col min="6" max="6" width="13.625" style="1" customWidth="1"/>
    <col min="7" max="16384" width="9" style="1"/>
  </cols>
  <sheetData>
    <row r="1" spans="1:8" ht="24" x14ac:dyDescent="0.15">
      <c r="B1" s="214" t="s">
        <v>43</v>
      </c>
      <c r="C1" s="214"/>
      <c r="D1" s="214"/>
      <c r="E1" s="214"/>
    </row>
    <row r="3" spans="1:8" ht="51" customHeight="1" x14ac:dyDescent="0.15">
      <c r="A3" s="215" t="s">
        <v>31</v>
      </c>
      <c r="B3" s="215"/>
      <c r="C3" s="215" t="s">
        <v>32</v>
      </c>
      <c r="D3" s="215"/>
      <c r="E3" s="38" t="s">
        <v>33</v>
      </c>
      <c r="F3" s="39" t="s">
        <v>44</v>
      </c>
    </row>
    <row r="4" spans="1:8" hidden="1" x14ac:dyDescent="0.15">
      <c r="A4" s="206" t="e">
        <f>入力シート!$E$7</f>
        <v>#REF!</v>
      </c>
      <c r="B4" s="216"/>
      <c r="C4" s="75" t="str">
        <f>IF(ISBLANK(入力シート!C2),"",入力シート!B2&amp;"  "&amp;入力シート!C2)</f>
        <v/>
      </c>
      <c r="D4" s="76"/>
      <c r="E4" s="77"/>
      <c r="F4" s="22"/>
    </row>
    <row r="5" spans="1:8" ht="15.75" customHeight="1" x14ac:dyDescent="0.15">
      <c r="A5" s="210"/>
      <c r="B5" s="217"/>
      <c r="C5" s="210" t="e">
        <f>入力シート!H7</f>
        <v>#REF!</v>
      </c>
      <c r="D5" s="211"/>
      <c r="E5" s="78" t="s">
        <v>97</v>
      </c>
      <c r="F5" s="21" t="s">
        <v>98</v>
      </c>
    </row>
    <row r="6" spans="1:8" ht="15.75" customHeight="1" x14ac:dyDescent="0.15">
      <c r="A6" s="208"/>
      <c r="B6" s="218"/>
      <c r="C6" s="79" t="e">
        <f>IF(ISBLANK(入力シート!F2),入力シート!I7,"被相続人　"&amp;入力シート!I7)</f>
        <v>#REF!</v>
      </c>
      <c r="D6" s="80" t="s">
        <v>34</v>
      </c>
      <c r="E6" s="81">
        <v>38877</v>
      </c>
      <c r="F6" s="20" t="s">
        <v>36</v>
      </c>
    </row>
    <row r="7" spans="1:8" ht="15.75" hidden="1" customHeight="1" x14ac:dyDescent="0.15">
      <c r="A7" s="206" t="e">
        <f>入力シート!$E$7</f>
        <v>#REF!</v>
      </c>
      <c r="B7" s="216"/>
      <c r="C7" s="75" t="str">
        <f>IF(ISBLANK(入力シート!$F$2),"",入力シート!B$2&amp;"  "&amp;入力シート!F$2)</f>
        <v/>
      </c>
      <c r="D7" s="76"/>
      <c r="E7" s="77"/>
      <c r="F7" s="22"/>
    </row>
    <row r="8" spans="1:8" ht="15.75" customHeight="1" x14ac:dyDescent="0.15">
      <c r="A8" s="210"/>
      <c r="B8" s="217"/>
      <c r="C8" s="210" t="e">
        <f>入力シート!J7</f>
        <v>#REF!</v>
      </c>
      <c r="D8" s="211"/>
      <c r="E8" s="78" t="s">
        <v>97</v>
      </c>
      <c r="F8" s="21" t="s">
        <v>98</v>
      </c>
    </row>
    <row r="9" spans="1:8" ht="15.75" customHeight="1" x14ac:dyDescent="0.15">
      <c r="A9" s="208"/>
      <c r="B9" s="218"/>
      <c r="C9" s="79" t="e">
        <f>IF(ISBLANK(入力シート!F$2),入力シート!#REF!,"被相続人　"&amp;入力シート!#REF!)</f>
        <v>#REF!</v>
      </c>
      <c r="D9" s="80" t="s">
        <v>34</v>
      </c>
      <c r="E9" s="81">
        <v>38877</v>
      </c>
      <c r="F9" s="20" t="s">
        <v>36</v>
      </c>
    </row>
    <row r="10" spans="1:8" ht="15.75" hidden="1" customHeight="1" x14ac:dyDescent="0.15">
      <c r="A10" s="206" t="e">
        <f>入力シート!$E$7</f>
        <v>#REF!</v>
      </c>
      <c r="B10" s="216"/>
      <c r="C10" s="75" t="str">
        <f>IF(ISBLANK(入力シート!$F$2),"",入力シート!B$2&amp;"  "&amp;入力シート!F$2)</f>
        <v/>
      </c>
      <c r="D10" s="76"/>
      <c r="E10" s="77"/>
      <c r="F10" s="22"/>
    </row>
    <row r="11" spans="1:8" ht="15.75" hidden="1" customHeight="1" x14ac:dyDescent="0.15">
      <c r="A11" s="210"/>
      <c r="B11" s="217"/>
      <c r="C11" s="210" t="e">
        <f>入力シート!#REF!</f>
        <v>#REF!</v>
      </c>
      <c r="D11" s="211"/>
      <c r="E11" s="78" t="s">
        <v>99</v>
      </c>
      <c r="F11" s="21" t="s">
        <v>98</v>
      </c>
    </row>
    <row r="12" spans="1:8" ht="15.75" hidden="1" customHeight="1" x14ac:dyDescent="0.15">
      <c r="A12" s="208"/>
      <c r="B12" s="218"/>
      <c r="C12" s="79" t="e">
        <f>IF(ISBLANK(入力シート!F$2),入力シート!#REF!,"被相続人　"&amp;入力シート!#REF!)</f>
        <v>#REF!</v>
      </c>
      <c r="D12" s="80" t="s">
        <v>34</v>
      </c>
      <c r="E12" s="81" t="s">
        <v>35</v>
      </c>
      <c r="F12" s="20" t="s">
        <v>36</v>
      </c>
    </row>
    <row r="13" spans="1:8" ht="15.75" hidden="1" customHeight="1" outlineLevel="1" x14ac:dyDescent="0.15">
      <c r="A13" s="206" t="e">
        <f>入力シート!$E$7</f>
        <v>#REF!</v>
      </c>
      <c r="B13" s="207"/>
      <c r="C13" s="75" t="str">
        <f>IF(ISBLANK(入力シート!$F$2),"",入力シート!B$2&amp;"  "&amp;入力シート!F$2)</f>
        <v/>
      </c>
      <c r="D13" s="76"/>
      <c r="E13" s="77"/>
      <c r="F13" s="22"/>
      <c r="H13" s="7"/>
    </row>
    <row r="14" spans="1:8" ht="15.75" hidden="1" customHeight="1" outlineLevel="1" x14ac:dyDescent="0.15">
      <c r="A14" s="210"/>
      <c r="B14" s="211"/>
      <c r="C14" s="210" t="e">
        <f>入力シート!#REF!</f>
        <v>#REF!</v>
      </c>
      <c r="D14" s="211"/>
      <c r="E14" s="78" t="s">
        <v>100</v>
      </c>
      <c r="F14" s="21" t="s">
        <v>98</v>
      </c>
    </row>
    <row r="15" spans="1:8" ht="15.75" hidden="1" customHeight="1" outlineLevel="1" x14ac:dyDescent="0.15">
      <c r="A15" s="208"/>
      <c r="B15" s="209"/>
      <c r="C15" s="79" t="e">
        <f>IF(ISBLANK(入力シート!F$2),入力シート!#REF!,"被相続人　"&amp;入力シート!#REF!)</f>
        <v>#REF!</v>
      </c>
      <c r="D15" s="80" t="s">
        <v>34</v>
      </c>
      <c r="E15" s="81" t="s">
        <v>35</v>
      </c>
      <c r="F15" s="20" t="s">
        <v>36</v>
      </c>
    </row>
    <row r="16" spans="1:8" ht="15.75" customHeight="1" collapsed="1" x14ac:dyDescent="0.15">
      <c r="A16" s="206" t="e">
        <f>入力シート!$E$11</f>
        <v>#REF!</v>
      </c>
      <c r="B16" s="207"/>
      <c r="C16" s="82" t="e">
        <f>入力シート!H11</f>
        <v>#REF!</v>
      </c>
      <c r="D16" s="83"/>
      <c r="E16" s="78" t="s">
        <v>97</v>
      </c>
      <c r="F16" s="19" t="s">
        <v>98</v>
      </c>
    </row>
    <row r="17" spans="1:6" ht="15.75" customHeight="1" x14ac:dyDescent="0.15">
      <c r="A17" s="210"/>
      <c r="B17" s="211"/>
      <c r="C17" s="79" t="e">
        <f>入力シート!I11</f>
        <v>#REF!</v>
      </c>
      <c r="D17" s="84" t="s">
        <v>0</v>
      </c>
      <c r="E17" s="81">
        <v>38877</v>
      </c>
      <c r="F17" s="20" t="s">
        <v>36</v>
      </c>
    </row>
    <row r="18" spans="1:6" ht="15.75" customHeight="1" outlineLevel="1" x14ac:dyDescent="0.15">
      <c r="A18" s="206" t="e">
        <f>入力シート!$E$11</f>
        <v>#REF!</v>
      </c>
      <c r="B18" s="207"/>
      <c r="C18" s="82" t="e">
        <f>入力シート!J11</f>
        <v>#REF!</v>
      </c>
      <c r="D18" s="83"/>
      <c r="E18" s="78" t="s">
        <v>97</v>
      </c>
      <c r="F18" s="19" t="s">
        <v>98</v>
      </c>
    </row>
    <row r="19" spans="1:6" ht="15.75" customHeight="1" outlineLevel="1" x14ac:dyDescent="0.15">
      <c r="A19" s="210"/>
      <c r="B19" s="211"/>
      <c r="C19" s="79" t="e">
        <f>入力シート!#REF!</f>
        <v>#REF!</v>
      </c>
      <c r="D19" s="84" t="s">
        <v>0</v>
      </c>
      <c r="E19" s="81">
        <v>38877</v>
      </c>
      <c r="F19" s="20" t="s">
        <v>36</v>
      </c>
    </row>
    <row r="20" spans="1:6" ht="15.75" hidden="1" customHeight="1" outlineLevel="1" x14ac:dyDescent="0.15">
      <c r="A20" s="206" t="e">
        <f>入力シート!$E$11</f>
        <v>#REF!</v>
      </c>
      <c r="B20" s="207"/>
      <c r="C20" s="82" t="e">
        <f>入力シート!#REF!</f>
        <v>#REF!</v>
      </c>
      <c r="D20" s="83"/>
      <c r="E20" s="78" t="s">
        <v>100</v>
      </c>
      <c r="F20" s="19" t="s">
        <v>98</v>
      </c>
    </row>
    <row r="21" spans="1:6" ht="15.75" hidden="1" customHeight="1" outlineLevel="1" x14ac:dyDescent="0.15">
      <c r="A21" s="210"/>
      <c r="B21" s="211"/>
      <c r="C21" s="79" t="e">
        <f>入力シート!#REF!</f>
        <v>#REF!</v>
      </c>
      <c r="D21" s="84" t="s">
        <v>0</v>
      </c>
      <c r="E21" s="81" t="s">
        <v>35</v>
      </c>
      <c r="F21" s="20" t="s">
        <v>36</v>
      </c>
    </row>
    <row r="22" spans="1:6" ht="15.75" hidden="1" customHeight="1" outlineLevel="1" x14ac:dyDescent="0.15">
      <c r="A22" s="206" t="e">
        <f>入力シート!$E$11</f>
        <v>#REF!</v>
      </c>
      <c r="B22" s="207"/>
      <c r="C22" s="82" t="e">
        <f>入力シート!#REF!</f>
        <v>#REF!</v>
      </c>
      <c r="D22" s="83"/>
      <c r="E22" s="78" t="s">
        <v>100</v>
      </c>
      <c r="F22" s="19" t="s">
        <v>98</v>
      </c>
    </row>
    <row r="23" spans="1:6" ht="15.75" hidden="1" customHeight="1" outlineLevel="1" x14ac:dyDescent="0.15">
      <c r="A23" s="208"/>
      <c r="B23" s="209"/>
      <c r="C23" s="79" t="e">
        <f>入力シート!#REF!</f>
        <v>#REF!</v>
      </c>
      <c r="D23" s="84" t="s">
        <v>0</v>
      </c>
      <c r="E23" s="81" t="s">
        <v>35</v>
      </c>
      <c r="F23" s="20" t="s">
        <v>36</v>
      </c>
    </row>
    <row r="24" spans="1:6" ht="15.75" customHeight="1" x14ac:dyDescent="0.15">
      <c r="A24" s="206" t="e">
        <f>入力シート!$E$12</f>
        <v>#REF!</v>
      </c>
      <c r="B24" s="207"/>
      <c r="C24" s="82" t="e">
        <f>入力シート!H12</f>
        <v>#REF!</v>
      </c>
      <c r="D24" s="83"/>
      <c r="E24" s="78" t="s">
        <v>97</v>
      </c>
      <c r="F24" s="19" t="s">
        <v>98</v>
      </c>
    </row>
    <row r="25" spans="1:6" x14ac:dyDescent="0.15">
      <c r="A25" s="208"/>
      <c r="B25" s="209"/>
      <c r="C25" s="79" t="e">
        <f>入力シート!I12</f>
        <v>#REF!</v>
      </c>
      <c r="D25" s="84" t="s">
        <v>0</v>
      </c>
      <c r="E25" s="81">
        <v>38877</v>
      </c>
      <c r="F25" s="20" t="s">
        <v>36</v>
      </c>
    </row>
    <row r="26" spans="1:6" hidden="1" outlineLevel="1" x14ac:dyDescent="0.15">
      <c r="A26" s="206" t="e">
        <f>入力シート!$E$12</f>
        <v>#REF!</v>
      </c>
      <c r="B26" s="207"/>
      <c r="C26" s="82" t="e">
        <f>入力シート!J12</f>
        <v>#REF!</v>
      </c>
      <c r="D26" s="83"/>
      <c r="E26" s="78" t="s">
        <v>100</v>
      </c>
      <c r="F26" s="19" t="s">
        <v>98</v>
      </c>
    </row>
    <row r="27" spans="1:6" hidden="1" outlineLevel="1" x14ac:dyDescent="0.15">
      <c r="A27" s="208"/>
      <c r="B27" s="209"/>
      <c r="C27" s="79" t="e">
        <f>入力シート!#REF!</f>
        <v>#REF!</v>
      </c>
      <c r="D27" s="84" t="s">
        <v>0</v>
      </c>
      <c r="E27" s="81" t="s">
        <v>35</v>
      </c>
      <c r="F27" s="20" t="s">
        <v>36</v>
      </c>
    </row>
    <row r="28" spans="1:6" hidden="1" outlineLevel="1" x14ac:dyDescent="0.15">
      <c r="A28" s="206" t="e">
        <f>入力シート!$E$12</f>
        <v>#REF!</v>
      </c>
      <c r="B28" s="207"/>
      <c r="C28" s="82" t="e">
        <f>入力シート!#REF!</f>
        <v>#REF!</v>
      </c>
      <c r="D28" s="83"/>
      <c r="E28" s="78" t="s">
        <v>100</v>
      </c>
      <c r="F28" s="19" t="s">
        <v>98</v>
      </c>
    </row>
    <row r="29" spans="1:6" hidden="1" outlineLevel="1" x14ac:dyDescent="0.15">
      <c r="A29" s="208"/>
      <c r="B29" s="209"/>
      <c r="C29" s="79" t="e">
        <f>入力シート!#REF!</f>
        <v>#REF!</v>
      </c>
      <c r="D29" s="84" t="s">
        <v>0</v>
      </c>
      <c r="E29" s="81" t="s">
        <v>35</v>
      </c>
      <c r="F29" s="20" t="s">
        <v>36</v>
      </c>
    </row>
    <row r="30" spans="1:6" hidden="1" outlineLevel="1" x14ac:dyDescent="0.15">
      <c r="A30" s="206" t="e">
        <f>入力シート!$E$12</f>
        <v>#REF!</v>
      </c>
      <c r="B30" s="207"/>
      <c r="C30" s="82" t="e">
        <f>入力シート!#REF!</f>
        <v>#REF!</v>
      </c>
      <c r="D30" s="83"/>
      <c r="E30" s="78" t="s">
        <v>100</v>
      </c>
      <c r="F30" s="19" t="s">
        <v>98</v>
      </c>
    </row>
    <row r="31" spans="1:6" hidden="1" outlineLevel="1" x14ac:dyDescent="0.15">
      <c r="A31" s="208"/>
      <c r="B31" s="209"/>
      <c r="C31" s="79" t="e">
        <f>入力シート!#REF!</f>
        <v>#REF!</v>
      </c>
      <c r="D31" s="84" t="s">
        <v>0</v>
      </c>
      <c r="E31" s="81" t="s">
        <v>35</v>
      </c>
      <c r="F31" s="20" t="s">
        <v>36</v>
      </c>
    </row>
    <row r="32" spans="1:6" hidden="1" x14ac:dyDescent="0.15">
      <c r="A32" s="206">
        <f>入力シート!$E$13</f>
        <v>0</v>
      </c>
      <c r="B32" s="207"/>
      <c r="C32" s="82">
        <f>入力シート!H13</f>
        <v>0</v>
      </c>
      <c r="D32" s="83"/>
      <c r="E32" s="78" t="s">
        <v>100</v>
      </c>
      <c r="F32" s="19" t="s">
        <v>98</v>
      </c>
    </row>
    <row r="33" spans="1:6" hidden="1" x14ac:dyDescent="0.15">
      <c r="A33" s="208"/>
      <c r="B33" s="209"/>
      <c r="C33" s="79">
        <f>入力シート!I13</f>
        <v>0</v>
      </c>
      <c r="D33" s="84" t="s">
        <v>0</v>
      </c>
      <c r="E33" s="81" t="s">
        <v>35</v>
      </c>
      <c r="F33" s="20" t="s">
        <v>36</v>
      </c>
    </row>
    <row r="34" spans="1:6" hidden="1" outlineLevel="1" x14ac:dyDescent="0.15">
      <c r="A34" s="206">
        <f>入力シート!$E$13</f>
        <v>0</v>
      </c>
      <c r="B34" s="207"/>
      <c r="C34" s="82">
        <f>入力シート!J13</f>
        <v>0</v>
      </c>
      <c r="D34" s="83"/>
      <c r="E34" s="78" t="s">
        <v>100</v>
      </c>
      <c r="F34" s="19" t="s">
        <v>98</v>
      </c>
    </row>
    <row r="35" spans="1:6" hidden="1" outlineLevel="1" x14ac:dyDescent="0.15">
      <c r="A35" s="208"/>
      <c r="B35" s="209"/>
      <c r="C35" s="79" t="e">
        <f>入力シート!#REF!</f>
        <v>#REF!</v>
      </c>
      <c r="D35" s="84" t="s">
        <v>0</v>
      </c>
      <c r="E35" s="81" t="s">
        <v>35</v>
      </c>
      <c r="F35" s="20" t="s">
        <v>36</v>
      </c>
    </row>
    <row r="36" spans="1:6" hidden="1" outlineLevel="1" x14ac:dyDescent="0.15">
      <c r="A36" s="206">
        <f>入力シート!$E$13</f>
        <v>0</v>
      </c>
      <c r="B36" s="207"/>
      <c r="C36" s="82" t="e">
        <f>入力シート!#REF!</f>
        <v>#REF!</v>
      </c>
      <c r="D36" s="83"/>
      <c r="E36" s="78" t="s">
        <v>100</v>
      </c>
      <c r="F36" s="19" t="s">
        <v>98</v>
      </c>
    </row>
    <row r="37" spans="1:6" hidden="1" outlineLevel="1" x14ac:dyDescent="0.15">
      <c r="A37" s="208"/>
      <c r="B37" s="209"/>
      <c r="C37" s="79" t="e">
        <f>入力シート!#REF!</f>
        <v>#REF!</v>
      </c>
      <c r="D37" s="84" t="s">
        <v>0</v>
      </c>
      <c r="E37" s="81" t="s">
        <v>35</v>
      </c>
      <c r="F37" s="20" t="s">
        <v>36</v>
      </c>
    </row>
    <row r="38" spans="1:6" hidden="1" outlineLevel="1" x14ac:dyDescent="0.15">
      <c r="A38" s="206">
        <f>入力シート!$E$13</f>
        <v>0</v>
      </c>
      <c r="B38" s="207"/>
      <c r="C38" s="82" t="e">
        <f>入力シート!#REF!</f>
        <v>#REF!</v>
      </c>
      <c r="D38" s="83"/>
      <c r="E38" s="78" t="s">
        <v>100</v>
      </c>
      <c r="F38" s="19" t="s">
        <v>98</v>
      </c>
    </row>
    <row r="39" spans="1:6" hidden="1" outlineLevel="1" x14ac:dyDescent="0.15">
      <c r="A39" s="208"/>
      <c r="B39" s="209"/>
      <c r="C39" s="79" t="e">
        <f>入力シート!#REF!</f>
        <v>#REF!</v>
      </c>
      <c r="D39" s="84" t="s">
        <v>0</v>
      </c>
      <c r="E39" s="81" t="s">
        <v>35</v>
      </c>
      <c r="F39" s="20" t="s">
        <v>36</v>
      </c>
    </row>
    <row r="40" spans="1:6" hidden="1" x14ac:dyDescent="0.15">
      <c r="A40" s="206">
        <f>入力シート!$E$14</f>
        <v>0</v>
      </c>
      <c r="B40" s="207"/>
      <c r="C40" s="82">
        <f>入力シート!H14</f>
        <v>0</v>
      </c>
      <c r="D40" s="83"/>
      <c r="E40" s="78" t="s">
        <v>100</v>
      </c>
      <c r="F40" s="19" t="s">
        <v>98</v>
      </c>
    </row>
    <row r="41" spans="1:6" hidden="1" x14ac:dyDescent="0.15">
      <c r="A41" s="208"/>
      <c r="B41" s="209"/>
      <c r="C41" s="79">
        <f>入力シート!I14</f>
        <v>0</v>
      </c>
      <c r="D41" s="84" t="s">
        <v>0</v>
      </c>
      <c r="E41" s="81" t="s">
        <v>35</v>
      </c>
      <c r="F41" s="20" t="s">
        <v>36</v>
      </c>
    </row>
    <row r="42" spans="1:6" hidden="1" outlineLevel="1" x14ac:dyDescent="0.15">
      <c r="A42" s="206">
        <f>入力シート!$E$14</f>
        <v>0</v>
      </c>
      <c r="B42" s="207"/>
      <c r="C42" s="82">
        <f>入力シート!J14</f>
        <v>0</v>
      </c>
      <c r="D42" s="83"/>
      <c r="E42" s="78" t="s">
        <v>100</v>
      </c>
      <c r="F42" s="19" t="s">
        <v>98</v>
      </c>
    </row>
    <row r="43" spans="1:6" hidden="1" outlineLevel="1" x14ac:dyDescent="0.15">
      <c r="A43" s="208"/>
      <c r="B43" s="209"/>
      <c r="C43" s="79" t="e">
        <f>入力シート!#REF!</f>
        <v>#REF!</v>
      </c>
      <c r="D43" s="84" t="s">
        <v>0</v>
      </c>
      <c r="E43" s="81" t="s">
        <v>35</v>
      </c>
      <c r="F43" s="20" t="s">
        <v>36</v>
      </c>
    </row>
    <row r="44" spans="1:6" hidden="1" outlineLevel="1" x14ac:dyDescent="0.15">
      <c r="A44" s="206">
        <f>入力シート!$E$14</f>
        <v>0</v>
      </c>
      <c r="B44" s="207"/>
      <c r="C44" s="82" t="e">
        <f>入力シート!#REF!</f>
        <v>#REF!</v>
      </c>
      <c r="D44" s="83"/>
      <c r="E44" s="78" t="s">
        <v>100</v>
      </c>
      <c r="F44" s="19" t="s">
        <v>98</v>
      </c>
    </row>
    <row r="45" spans="1:6" hidden="1" outlineLevel="1" x14ac:dyDescent="0.15">
      <c r="A45" s="208"/>
      <c r="B45" s="209"/>
      <c r="C45" s="79" t="e">
        <f>入力シート!#REF!</f>
        <v>#REF!</v>
      </c>
      <c r="D45" s="84" t="s">
        <v>0</v>
      </c>
      <c r="E45" s="81" t="s">
        <v>35</v>
      </c>
      <c r="F45" s="20" t="s">
        <v>36</v>
      </c>
    </row>
    <row r="46" spans="1:6" hidden="1" outlineLevel="1" x14ac:dyDescent="0.15">
      <c r="A46" s="206">
        <f>入力シート!$E$14</f>
        <v>0</v>
      </c>
      <c r="B46" s="207"/>
      <c r="C46" s="82" t="e">
        <f>入力シート!#REF!</f>
        <v>#REF!</v>
      </c>
      <c r="D46" s="83"/>
      <c r="E46" s="78" t="s">
        <v>100</v>
      </c>
      <c r="F46" s="19" t="s">
        <v>98</v>
      </c>
    </row>
    <row r="47" spans="1:6" hidden="1" outlineLevel="1" x14ac:dyDescent="0.15">
      <c r="A47" s="208"/>
      <c r="B47" s="209"/>
      <c r="C47" s="79" t="e">
        <f>入力シート!#REF!</f>
        <v>#REF!</v>
      </c>
      <c r="D47" s="84" t="s">
        <v>0</v>
      </c>
      <c r="E47" s="81" t="s">
        <v>35</v>
      </c>
      <c r="F47" s="20" t="s">
        <v>36</v>
      </c>
    </row>
    <row r="48" spans="1:6" hidden="1" collapsed="1" x14ac:dyDescent="0.15">
      <c r="A48" s="206">
        <f>入力シート!$E$15</f>
        <v>0</v>
      </c>
      <c r="B48" s="207"/>
      <c r="C48" s="82">
        <f>入力シート!H15</f>
        <v>0</v>
      </c>
      <c r="D48" s="83"/>
      <c r="E48" s="78" t="s">
        <v>100</v>
      </c>
      <c r="F48" s="19" t="s">
        <v>98</v>
      </c>
    </row>
    <row r="49" spans="1:6" hidden="1" x14ac:dyDescent="0.15">
      <c r="A49" s="208"/>
      <c r="B49" s="209"/>
      <c r="C49" s="79">
        <f>入力シート!I15</f>
        <v>0</v>
      </c>
      <c r="D49" s="84" t="s">
        <v>0</v>
      </c>
      <c r="E49" s="81" t="s">
        <v>35</v>
      </c>
      <c r="F49" s="20" t="s">
        <v>36</v>
      </c>
    </row>
    <row r="50" spans="1:6" hidden="1" outlineLevel="1" x14ac:dyDescent="0.15">
      <c r="A50" s="206">
        <f>入力シート!$E$15</f>
        <v>0</v>
      </c>
      <c r="B50" s="207"/>
      <c r="C50" s="82">
        <f>入力シート!J15</f>
        <v>0</v>
      </c>
      <c r="D50" s="83"/>
      <c r="E50" s="78" t="s">
        <v>100</v>
      </c>
      <c r="F50" s="19" t="s">
        <v>98</v>
      </c>
    </row>
    <row r="51" spans="1:6" hidden="1" outlineLevel="1" x14ac:dyDescent="0.15">
      <c r="A51" s="208"/>
      <c r="B51" s="209"/>
      <c r="C51" s="79" t="e">
        <f>入力シート!#REF!</f>
        <v>#REF!</v>
      </c>
      <c r="D51" s="84" t="s">
        <v>0</v>
      </c>
      <c r="E51" s="81" t="s">
        <v>35</v>
      </c>
      <c r="F51" s="20" t="s">
        <v>36</v>
      </c>
    </row>
    <row r="52" spans="1:6" hidden="1" outlineLevel="1" x14ac:dyDescent="0.15">
      <c r="A52" s="206">
        <f>入力シート!$E$15</f>
        <v>0</v>
      </c>
      <c r="B52" s="207"/>
      <c r="C52" s="82" t="e">
        <f>入力シート!#REF!</f>
        <v>#REF!</v>
      </c>
      <c r="D52" s="83"/>
      <c r="E52" s="78" t="s">
        <v>100</v>
      </c>
      <c r="F52" s="19" t="s">
        <v>98</v>
      </c>
    </row>
    <row r="53" spans="1:6" hidden="1" outlineLevel="1" x14ac:dyDescent="0.15">
      <c r="A53" s="208"/>
      <c r="B53" s="209"/>
      <c r="C53" s="79" t="e">
        <f>入力シート!#REF!</f>
        <v>#REF!</v>
      </c>
      <c r="D53" s="84" t="s">
        <v>0</v>
      </c>
      <c r="E53" s="81" t="s">
        <v>35</v>
      </c>
      <c r="F53" s="20" t="s">
        <v>36</v>
      </c>
    </row>
    <row r="54" spans="1:6" hidden="1" outlineLevel="1" x14ac:dyDescent="0.15">
      <c r="A54" s="206">
        <f>入力シート!$E$15</f>
        <v>0</v>
      </c>
      <c r="B54" s="207"/>
      <c r="C54" s="82" t="e">
        <f>入力シート!#REF!</f>
        <v>#REF!</v>
      </c>
      <c r="D54" s="83"/>
      <c r="E54" s="78" t="s">
        <v>100</v>
      </c>
      <c r="F54" s="19" t="s">
        <v>98</v>
      </c>
    </row>
    <row r="55" spans="1:6" hidden="1" outlineLevel="1" x14ac:dyDescent="0.15">
      <c r="A55" s="208"/>
      <c r="B55" s="209"/>
      <c r="C55" s="79" t="e">
        <f>入力シート!#REF!</f>
        <v>#REF!</v>
      </c>
      <c r="D55" s="84" t="s">
        <v>0</v>
      </c>
      <c r="E55" s="81" t="s">
        <v>35</v>
      </c>
      <c r="F55" s="20" t="s">
        <v>36</v>
      </c>
    </row>
    <row r="56" spans="1:6" hidden="1" outlineLevel="1" x14ac:dyDescent="0.15">
      <c r="A56" s="206">
        <f>入力シート!$E$16</f>
        <v>0</v>
      </c>
      <c r="B56" s="207"/>
      <c r="C56" s="82">
        <f>入力シート!H16</f>
        <v>0</v>
      </c>
      <c r="D56" s="83"/>
      <c r="E56" s="78" t="s">
        <v>100</v>
      </c>
      <c r="F56" s="19" t="s">
        <v>98</v>
      </c>
    </row>
    <row r="57" spans="1:6" hidden="1" outlineLevel="1" x14ac:dyDescent="0.15">
      <c r="A57" s="208"/>
      <c r="B57" s="209"/>
      <c r="C57" s="79">
        <f>入力シート!I16</f>
        <v>0</v>
      </c>
      <c r="D57" s="84" t="s">
        <v>0</v>
      </c>
      <c r="E57" s="81" t="s">
        <v>35</v>
      </c>
      <c r="F57" s="20" t="s">
        <v>36</v>
      </c>
    </row>
    <row r="58" spans="1:6" hidden="1" outlineLevel="1" x14ac:dyDescent="0.15">
      <c r="A58" s="206">
        <f>入力シート!$E$17</f>
        <v>0</v>
      </c>
      <c r="B58" s="207"/>
      <c r="C58" s="82">
        <f>入力シート!H17</f>
        <v>0</v>
      </c>
      <c r="D58" s="83"/>
      <c r="E58" s="78" t="s">
        <v>100</v>
      </c>
      <c r="F58" s="19" t="s">
        <v>98</v>
      </c>
    </row>
    <row r="59" spans="1:6" hidden="1" outlineLevel="1" x14ac:dyDescent="0.15">
      <c r="A59" s="208"/>
      <c r="B59" s="209"/>
      <c r="C59" s="79">
        <f>入力シート!I17</f>
        <v>0</v>
      </c>
      <c r="D59" s="84" t="s">
        <v>0</v>
      </c>
      <c r="E59" s="81" t="s">
        <v>35</v>
      </c>
      <c r="F59" s="20" t="s">
        <v>36</v>
      </c>
    </row>
    <row r="60" spans="1:6" hidden="1" outlineLevel="1" x14ac:dyDescent="0.15">
      <c r="A60" s="206">
        <f>入力シート!$E$18</f>
        <v>0</v>
      </c>
      <c r="B60" s="207"/>
      <c r="C60" s="82">
        <f>入力シート!H18</f>
        <v>0</v>
      </c>
      <c r="D60" s="83"/>
      <c r="E60" s="78" t="s">
        <v>100</v>
      </c>
      <c r="F60" s="19" t="s">
        <v>98</v>
      </c>
    </row>
    <row r="61" spans="1:6" hidden="1" outlineLevel="1" x14ac:dyDescent="0.15">
      <c r="A61" s="208"/>
      <c r="B61" s="209"/>
      <c r="C61" s="79">
        <f>入力シート!I18</f>
        <v>0</v>
      </c>
      <c r="D61" s="84" t="s">
        <v>0</v>
      </c>
      <c r="E61" s="81" t="s">
        <v>35</v>
      </c>
      <c r="F61" s="20" t="s">
        <v>36</v>
      </c>
    </row>
    <row r="62" spans="1:6" hidden="1" outlineLevel="1" x14ac:dyDescent="0.15">
      <c r="A62" s="206">
        <f>入力シート!$E$19</f>
        <v>0</v>
      </c>
      <c r="B62" s="207"/>
      <c r="C62" s="82">
        <f>入力シート!H19</f>
        <v>0</v>
      </c>
      <c r="D62" s="83"/>
      <c r="E62" s="78" t="s">
        <v>100</v>
      </c>
      <c r="F62" s="19" t="s">
        <v>98</v>
      </c>
    </row>
    <row r="63" spans="1:6" hidden="1" outlineLevel="1" x14ac:dyDescent="0.15">
      <c r="A63" s="208"/>
      <c r="B63" s="209"/>
      <c r="C63" s="79">
        <f>入力シート!I19</f>
        <v>0</v>
      </c>
      <c r="D63" s="84" t="s">
        <v>0</v>
      </c>
      <c r="E63" s="81" t="s">
        <v>35</v>
      </c>
      <c r="F63" s="20" t="s">
        <v>36</v>
      </c>
    </row>
    <row r="64" spans="1:6" hidden="1" outlineLevel="1" x14ac:dyDescent="0.15">
      <c r="A64" s="206">
        <f>入力シート!$E$20</f>
        <v>0</v>
      </c>
      <c r="B64" s="207"/>
      <c r="C64" s="82">
        <f>入力シート!H20</f>
        <v>0</v>
      </c>
      <c r="D64" s="83"/>
      <c r="E64" s="78" t="s">
        <v>100</v>
      </c>
      <c r="F64" s="19" t="s">
        <v>98</v>
      </c>
    </row>
    <row r="65" spans="1:6" hidden="1" outlineLevel="1" x14ac:dyDescent="0.15">
      <c r="A65" s="208"/>
      <c r="B65" s="209"/>
      <c r="C65" s="79">
        <f>入力シート!I20</f>
        <v>0</v>
      </c>
      <c r="D65" s="84" t="s">
        <v>0</v>
      </c>
      <c r="E65" s="81" t="s">
        <v>35</v>
      </c>
      <c r="F65" s="20" t="s">
        <v>36</v>
      </c>
    </row>
    <row r="66" spans="1:6" hidden="1" outlineLevel="1" x14ac:dyDescent="0.15">
      <c r="A66" s="206">
        <f>入力シート!$E$21</f>
        <v>0</v>
      </c>
      <c r="B66" s="207"/>
      <c r="C66" s="82">
        <f>入力シート!H21</f>
        <v>0</v>
      </c>
      <c r="D66" s="83"/>
      <c r="E66" s="78" t="s">
        <v>100</v>
      </c>
      <c r="F66" s="19" t="s">
        <v>98</v>
      </c>
    </row>
    <row r="67" spans="1:6" hidden="1" outlineLevel="1" x14ac:dyDescent="0.15">
      <c r="A67" s="208"/>
      <c r="B67" s="209"/>
      <c r="C67" s="79">
        <f>入力シート!I21</f>
        <v>0</v>
      </c>
      <c r="D67" s="84" t="s">
        <v>0</v>
      </c>
      <c r="E67" s="81" t="s">
        <v>35</v>
      </c>
      <c r="F67" s="20" t="s">
        <v>36</v>
      </c>
    </row>
    <row r="68" spans="1:6" collapsed="1" x14ac:dyDescent="0.15">
      <c r="A68" s="85"/>
      <c r="B68" s="85"/>
      <c r="C68" s="85"/>
      <c r="D68" s="85"/>
      <c r="E68" s="86"/>
    </row>
    <row r="69" spans="1:6" x14ac:dyDescent="0.15">
      <c r="A69" s="23"/>
      <c r="B69" s="23"/>
      <c r="C69" s="23"/>
      <c r="D69" s="23"/>
    </row>
    <row r="70" spans="1:6" x14ac:dyDescent="0.15">
      <c r="A70" s="212" t="s">
        <v>58</v>
      </c>
      <c r="B70" s="212"/>
      <c r="C70" s="212"/>
      <c r="D70" s="212"/>
      <c r="E70" s="212"/>
    </row>
    <row r="71" spans="1:6" x14ac:dyDescent="0.15">
      <c r="A71" s="213" t="s">
        <v>42</v>
      </c>
      <c r="B71" s="213"/>
      <c r="C71" s="213"/>
      <c r="D71" s="213"/>
      <c r="E71" s="213"/>
    </row>
    <row r="72" spans="1:6" x14ac:dyDescent="0.15">
      <c r="A72" s="213" t="s">
        <v>59</v>
      </c>
      <c r="B72" s="213"/>
      <c r="C72" s="213"/>
      <c r="D72" s="213"/>
      <c r="E72" s="213"/>
    </row>
    <row r="73" spans="1:6" x14ac:dyDescent="0.15">
      <c r="C73" s="23"/>
      <c r="D73" s="23"/>
    </row>
  </sheetData>
  <mergeCells count="40">
    <mergeCell ref="A70:E70"/>
    <mergeCell ref="A71:E71"/>
    <mergeCell ref="A72:E72"/>
    <mergeCell ref="B1:E1"/>
    <mergeCell ref="A18:B19"/>
    <mergeCell ref="C3:D3"/>
    <mergeCell ref="A3:B3"/>
    <mergeCell ref="A4:B6"/>
    <mergeCell ref="A22:B23"/>
    <mergeCell ref="A24:B25"/>
    <mergeCell ref="C14:D14"/>
    <mergeCell ref="C5:D5"/>
    <mergeCell ref="A7:B9"/>
    <mergeCell ref="C8:D8"/>
    <mergeCell ref="A10:B12"/>
    <mergeCell ref="C11:D11"/>
    <mergeCell ref="A13:B15"/>
    <mergeCell ref="A20:B21"/>
    <mergeCell ref="A16:B17"/>
    <mergeCell ref="A34:B35"/>
    <mergeCell ref="A36:B37"/>
    <mergeCell ref="A38:B39"/>
    <mergeCell ref="A40:B41"/>
    <mergeCell ref="A26:B27"/>
    <mergeCell ref="A28:B29"/>
    <mergeCell ref="A30:B31"/>
    <mergeCell ref="A32:B33"/>
    <mergeCell ref="A50:B51"/>
    <mergeCell ref="A52:B53"/>
    <mergeCell ref="A54:B55"/>
    <mergeCell ref="A56:B57"/>
    <mergeCell ref="A42:B43"/>
    <mergeCell ref="A44:B45"/>
    <mergeCell ref="A46:B47"/>
    <mergeCell ref="A48:B49"/>
    <mergeCell ref="A66:B67"/>
    <mergeCell ref="A58:B59"/>
    <mergeCell ref="A60:B61"/>
    <mergeCell ref="A62:B63"/>
    <mergeCell ref="A64:B65"/>
  </mergeCells>
  <phoneticPr fontId="2"/>
  <pageMargins left="0.51" right="0.21" top="0.98399999999999999" bottom="0.98399999999999999" header="0.51200000000000001" footer="0.51200000000000001"/>
  <pageSetup paperSize="9" orientation="portrait" horizontalDpi="4294967292" verticalDpi="1200"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2:M50"/>
  <sheetViews>
    <sheetView zoomScale="85" zoomScaleNormal="85" workbookViewId="0">
      <selection activeCell="D15" sqref="D15:I16"/>
    </sheetView>
  </sheetViews>
  <sheetFormatPr defaultRowHeight="13.5" x14ac:dyDescent="0.15"/>
  <cols>
    <col min="1" max="1" width="3.625" style="56" customWidth="1"/>
    <col min="2" max="10" width="8.5" style="56" customWidth="1"/>
    <col min="11" max="11" width="3.625" style="56" customWidth="1"/>
    <col min="12" max="12" width="9" style="56"/>
    <col min="13" max="13" width="36.125" style="56" customWidth="1"/>
    <col min="14" max="16384" width="9" style="56"/>
  </cols>
  <sheetData>
    <row r="2" spans="2:13" ht="13.5" customHeight="1" x14ac:dyDescent="0.15">
      <c r="C2" s="57" t="s">
        <v>45</v>
      </c>
      <c r="D2" s="57"/>
      <c r="E2" s="57"/>
      <c r="F2" s="57"/>
      <c r="G2" s="57"/>
      <c r="H2" s="57"/>
      <c r="I2" s="57"/>
    </row>
    <row r="3" spans="2:13" ht="13.5" customHeight="1" x14ac:dyDescent="0.15">
      <c r="B3" s="58" t="s">
        <v>45</v>
      </c>
      <c r="C3" s="57"/>
      <c r="D3" s="57"/>
      <c r="E3" s="57"/>
      <c r="F3" s="57"/>
      <c r="G3" s="57"/>
      <c r="H3" s="57"/>
      <c r="I3" s="57"/>
      <c r="J3" s="58"/>
    </row>
    <row r="4" spans="2:13" ht="13.5" customHeight="1" x14ac:dyDescent="0.15">
      <c r="B4" s="58"/>
      <c r="C4" s="57"/>
      <c r="D4" s="57"/>
      <c r="E4" s="57"/>
      <c r="F4" s="57"/>
      <c r="G4" s="57"/>
      <c r="H4" s="57"/>
      <c r="I4" s="57"/>
      <c r="J4" s="58"/>
    </row>
    <row r="5" spans="2:13" ht="9" customHeight="1" thickBot="1" x14ac:dyDescent="0.2">
      <c r="B5" s="58"/>
      <c r="C5" s="57"/>
      <c r="D5" s="57"/>
      <c r="E5" s="57"/>
      <c r="F5" s="57"/>
      <c r="G5" s="57"/>
      <c r="H5" s="57"/>
      <c r="I5" s="57"/>
      <c r="J5" s="58"/>
    </row>
    <row r="6" spans="2:13" ht="13.5" customHeight="1" x14ac:dyDescent="0.15">
      <c r="B6" s="59"/>
      <c r="C6" s="60" t="s">
        <v>46</v>
      </c>
      <c r="D6" s="60"/>
      <c r="E6" s="60"/>
      <c r="F6" s="60"/>
      <c r="G6" s="60"/>
      <c r="H6" s="60"/>
      <c r="I6" s="60"/>
      <c r="J6" s="61"/>
    </row>
    <row r="7" spans="2:13" ht="13.5" customHeight="1" x14ac:dyDescent="0.15">
      <c r="B7" s="62"/>
      <c r="C7" s="224" t="s">
        <v>76</v>
      </c>
      <c r="D7" s="224"/>
      <c r="E7" s="224"/>
      <c r="F7" s="224"/>
      <c r="G7" s="224"/>
      <c r="H7" s="224"/>
      <c r="I7" s="224"/>
      <c r="J7" s="63"/>
    </row>
    <row r="8" spans="2:13" ht="13.5" customHeight="1" x14ac:dyDescent="0.15">
      <c r="B8" s="62"/>
      <c r="C8" s="224"/>
      <c r="D8" s="224"/>
      <c r="E8" s="224"/>
      <c r="F8" s="224"/>
      <c r="G8" s="224"/>
      <c r="H8" s="224"/>
      <c r="I8" s="224"/>
      <c r="J8" s="63"/>
    </row>
    <row r="9" spans="2:13" ht="13.5" customHeight="1" x14ac:dyDescent="0.15">
      <c r="B9" s="64"/>
      <c r="C9" s="224"/>
      <c r="D9" s="224"/>
      <c r="E9" s="224"/>
      <c r="F9" s="224"/>
      <c r="G9" s="224"/>
      <c r="H9" s="224"/>
      <c r="I9" s="224"/>
      <c r="J9" s="65"/>
    </row>
    <row r="10" spans="2:13" x14ac:dyDescent="0.15">
      <c r="B10" s="64"/>
      <c r="J10" s="65"/>
    </row>
    <row r="11" spans="2:13" x14ac:dyDescent="0.15">
      <c r="B11" s="64"/>
      <c r="J11" s="65"/>
    </row>
    <row r="12" spans="2:13" ht="13.5" customHeight="1" x14ac:dyDescent="0.15">
      <c r="B12" s="64"/>
      <c r="J12" s="65"/>
    </row>
    <row r="13" spans="2:13" x14ac:dyDescent="0.15">
      <c r="B13" s="64"/>
      <c r="J13" s="65"/>
    </row>
    <row r="14" spans="2:13" x14ac:dyDescent="0.15">
      <c r="B14" s="64"/>
      <c r="J14" s="65"/>
    </row>
    <row r="15" spans="2:13" ht="13.5" customHeight="1" x14ac:dyDescent="0.15">
      <c r="B15" s="64"/>
      <c r="C15" s="225" t="s">
        <v>1</v>
      </c>
      <c r="D15" s="226" t="e">
        <v>#REF!</v>
      </c>
      <c r="E15" s="226"/>
      <c r="F15" s="226"/>
      <c r="G15" s="226"/>
      <c r="H15" s="226"/>
      <c r="I15" s="226"/>
      <c r="J15" s="65"/>
    </row>
    <row r="16" spans="2:13" ht="14.25" customHeight="1" x14ac:dyDescent="0.15">
      <c r="B16" s="64"/>
      <c r="C16" s="225"/>
      <c r="D16" s="226"/>
      <c r="E16" s="226"/>
      <c r="F16" s="226"/>
      <c r="G16" s="226"/>
      <c r="H16" s="226"/>
      <c r="I16" s="226"/>
      <c r="J16" s="65"/>
      <c r="M16" s="66">
        <f>境界確認書甲乙1!Z3</f>
        <v>0</v>
      </c>
    </row>
    <row r="17" spans="2:13" x14ac:dyDescent="0.15">
      <c r="B17" s="64"/>
      <c r="J17" s="65"/>
      <c r="M17" s="66">
        <f>境界確認書甲乙1!Z4</f>
        <v>0</v>
      </c>
    </row>
    <row r="18" spans="2:13" x14ac:dyDescent="0.15">
      <c r="B18" s="64"/>
      <c r="J18" s="65"/>
      <c r="M18" s="66">
        <f>境界確認書甲乙1!Z5</f>
        <v>0</v>
      </c>
    </row>
    <row r="19" spans="2:13" x14ac:dyDescent="0.15">
      <c r="B19" s="64"/>
      <c r="J19" s="65"/>
      <c r="M19" s="66">
        <f>境界確認書甲乙1!Z6</f>
        <v>0</v>
      </c>
    </row>
    <row r="20" spans="2:13" x14ac:dyDescent="0.15">
      <c r="B20" s="64"/>
      <c r="J20" s="65"/>
      <c r="M20" s="66">
        <f>境界確認書甲乙1!Z7</f>
        <v>0</v>
      </c>
    </row>
    <row r="21" spans="2:13" ht="20.25" customHeight="1" x14ac:dyDescent="0.2">
      <c r="B21" s="64"/>
      <c r="C21" s="67">
        <v>1</v>
      </c>
      <c r="D21" s="222" t="s">
        <v>83</v>
      </c>
      <c r="E21" s="222"/>
      <c r="F21" s="222"/>
      <c r="G21" s="222"/>
      <c r="H21" s="222"/>
      <c r="I21" s="68"/>
      <c r="J21" s="65"/>
      <c r="M21" s="66">
        <f>境界確認書甲乙1!Z8</f>
        <v>0</v>
      </c>
    </row>
    <row r="22" spans="2:13" ht="20.25" customHeight="1" x14ac:dyDescent="0.2">
      <c r="B22" s="64"/>
      <c r="C22" s="67"/>
      <c r="D22" s="220"/>
      <c r="E22" s="220"/>
      <c r="F22" s="220"/>
      <c r="G22" s="220"/>
      <c r="H22" s="220"/>
      <c r="I22" s="68"/>
      <c r="J22" s="65"/>
    </row>
    <row r="23" spans="2:13" ht="20.25" customHeight="1" x14ac:dyDescent="0.2">
      <c r="B23" s="64"/>
      <c r="C23" s="67">
        <v>2</v>
      </c>
      <c r="D23" s="220" t="s">
        <v>52</v>
      </c>
      <c r="E23" s="220"/>
      <c r="F23" s="220"/>
      <c r="G23" s="220"/>
      <c r="H23" s="220"/>
      <c r="I23" s="69"/>
      <c r="J23" s="65"/>
    </row>
    <row r="24" spans="2:13" ht="20.25" customHeight="1" x14ac:dyDescent="0.2">
      <c r="B24" s="64"/>
      <c r="C24" s="67"/>
      <c r="D24" s="220"/>
      <c r="E24" s="220"/>
      <c r="F24" s="220"/>
      <c r="G24" s="220"/>
      <c r="H24" s="220"/>
      <c r="I24" s="70"/>
      <c r="J24" s="65"/>
    </row>
    <row r="25" spans="2:13" ht="20.25" customHeight="1" x14ac:dyDescent="0.2">
      <c r="B25" s="64"/>
      <c r="C25" s="67">
        <v>3</v>
      </c>
      <c r="D25" s="220" t="s">
        <v>86</v>
      </c>
      <c r="E25" s="220"/>
      <c r="F25" s="220"/>
      <c r="G25" s="220"/>
      <c r="H25" s="220"/>
      <c r="I25" s="68"/>
      <c r="J25" s="65"/>
      <c r="M25" s="71" t="s">
        <v>47</v>
      </c>
    </row>
    <row r="26" spans="2:13" ht="20.25" customHeight="1" x14ac:dyDescent="0.2">
      <c r="B26" s="64"/>
      <c r="C26" s="67"/>
      <c r="D26" s="220"/>
      <c r="E26" s="220"/>
      <c r="F26" s="220"/>
      <c r="G26" s="220"/>
      <c r="H26" s="220"/>
      <c r="I26" s="68"/>
      <c r="J26" s="65"/>
      <c r="M26" s="71" t="s">
        <v>48</v>
      </c>
    </row>
    <row r="27" spans="2:13" ht="20.25" customHeight="1" x14ac:dyDescent="0.2">
      <c r="B27" s="64"/>
      <c r="C27" s="67">
        <v>4</v>
      </c>
      <c r="D27" s="220" t="s">
        <v>48</v>
      </c>
      <c r="E27" s="220"/>
      <c r="F27" s="220"/>
      <c r="G27" s="220"/>
      <c r="H27" s="220"/>
      <c r="I27" s="69"/>
      <c r="J27" s="65"/>
      <c r="M27" s="71" t="s">
        <v>49</v>
      </c>
    </row>
    <row r="28" spans="2:13" ht="20.25" customHeight="1" x14ac:dyDescent="0.2">
      <c r="B28" s="64"/>
      <c r="C28" s="67"/>
      <c r="D28" s="222"/>
      <c r="E28" s="222"/>
      <c r="F28" s="222"/>
      <c r="G28" s="222"/>
      <c r="H28" s="222"/>
      <c r="I28" s="70"/>
      <c r="J28" s="65"/>
      <c r="M28" s="71" t="s">
        <v>50</v>
      </c>
    </row>
    <row r="29" spans="2:13" ht="20.25" customHeight="1" x14ac:dyDescent="0.2">
      <c r="B29" s="64"/>
      <c r="C29" s="67">
        <v>5</v>
      </c>
      <c r="D29" s="220" t="s">
        <v>92</v>
      </c>
      <c r="E29" s="220"/>
      <c r="F29" s="220"/>
      <c r="G29" s="220"/>
      <c r="H29" s="220"/>
      <c r="I29" s="68"/>
      <c r="J29" s="65"/>
      <c r="M29" s="71" t="s">
        <v>51</v>
      </c>
    </row>
    <row r="30" spans="2:13" ht="20.25" customHeight="1" x14ac:dyDescent="0.2">
      <c r="B30" s="64"/>
      <c r="C30" s="67"/>
      <c r="D30" s="220"/>
      <c r="E30" s="220"/>
      <c r="F30" s="220"/>
      <c r="G30" s="220"/>
      <c r="H30" s="220"/>
      <c r="I30" s="68"/>
      <c r="J30" s="65"/>
      <c r="M30" s="71" t="s">
        <v>81</v>
      </c>
    </row>
    <row r="31" spans="2:13" ht="20.25" customHeight="1" x14ac:dyDescent="0.2">
      <c r="B31" s="64"/>
      <c r="C31" s="67">
        <v>6</v>
      </c>
      <c r="D31" s="220"/>
      <c r="E31" s="220"/>
      <c r="F31" s="220"/>
      <c r="G31" s="220"/>
      <c r="H31" s="220"/>
      <c r="I31" s="69"/>
      <c r="J31" s="65"/>
      <c r="M31" s="71" t="s">
        <v>52</v>
      </c>
    </row>
    <row r="32" spans="2:13" ht="20.25" customHeight="1" x14ac:dyDescent="0.2">
      <c r="B32" s="64"/>
      <c r="C32" s="67"/>
      <c r="D32" s="222"/>
      <c r="E32" s="222"/>
      <c r="F32" s="222"/>
      <c r="G32" s="222"/>
      <c r="H32" s="222"/>
      <c r="I32" s="70"/>
      <c r="J32" s="65"/>
      <c r="M32" s="71" t="s">
        <v>82</v>
      </c>
    </row>
    <row r="33" spans="2:13" ht="20.25" customHeight="1" x14ac:dyDescent="0.2">
      <c r="B33" s="64"/>
      <c r="C33" s="67">
        <v>7</v>
      </c>
      <c r="D33" s="220"/>
      <c r="E33" s="220"/>
      <c r="F33" s="220"/>
      <c r="G33" s="220"/>
      <c r="H33" s="220"/>
      <c r="I33" s="69"/>
      <c r="J33" s="65"/>
      <c r="M33" s="71" t="s">
        <v>56</v>
      </c>
    </row>
    <row r="34" spans="2:13" ht="20.25" customHeight="1" x14ac:dyDescent="0.2">
      <c r="B34" s="64"/>
      <c r="C34" s="67"/>
      <c r="D34" s="220"/>
      <c r="E34" s="220"/>
      <c r="F34" s="220"/>
      <c r="G34" s="220"/>
      <c r="H34" s="220"/>
      <c r="I34" s="69"/>
      <c r="J34" s="65"/>
      <c r="M34" s="71" t="s">
        <v>83</v>
      </c>
    </row>
    <row r="35" spans="2:13" ht="20.25" customHeight="1" x14ac:dyDescent="0.2">
      <c r="B35" s="64"/>
      <c r="C35" s="67"/>
      <c r="D35" s="222"/>
      <c r="E35" s="222"/>
      <c r="F35" s="222"/>
      <c r="G35" s="222"/>
      <c r="H35" s="222"/>
      <c r="I35" s="70"/>
      <c r="J35" s="65"/>
      <c r="M35" s="71" t="s">
        <v>80</v>
      </c>
    </row>
    <row r="36" spans="2:13" ht="20.25" customHeight="1" x14ac:dyDescent="0.2">
      <c r="B36" s="64"/>
      <c r="C36" s="67"/>
      <c r="D36" s="220"/>
      <c r="E36" s="220"/>
      <c r="F36" s="220"/>
      <c r="G36" s="220"/>
      <c r="H36" s="220"/>
      <c r="I36" s="69"/>
      <c r="J36" s="65"/>
      <c r="M36" s="71" t="s">
        <v>84</v>
      </c>
    </row>
    <row r="37" spans="2:13" x14ac:dyDescent="0.15">
      <c r="B37" s="64"/>
      <c r="J37" s="65"/>
    </row>
    <row r="38" spans="2:13" x14ac:dyDescent="0.15">
      <c r="B38" s="64"/>
      <c r="J38" s="65"/>
      <c r="M38" s="56" t="e" cm="1">
        <f t="array" ref="M38:M50">入力シート!E7:E19</f>
        <v>#REF!</v>
      </c>
    </row>
    <row r="39" spans="2:13" x14ac:dyDescent="0.15">
      <c r="B39" s="64"/>
      <c r="J39" s="65"/>
      <c r="M39" s="56" t="e">
        <v>#REF!</v>
      </c>
    </row>
    <row r="40" spans="2:13" ht="14.25" thickBot="1" x14ac:dyDescent="0.2">
      <c r="B40" s="72"/>
      <c r="C40" s="73"/>
      <c r="D40" s="73"/>
      <c r="E40" s="73"/>
      <c r="F40" s="73"/>
      <c r="G40" s="73"/>
      <c r="H40" s="73"/>
      <c r="I40" s="73"/>
      <c r="J40" s="74"/>
      <c r="M40" s="56" t="e">
        <v>#REF!</v>
      </c>
    </row>
    <row r="41" spans="2:13" x14ac:dyDescent="0.15">
      <c r="M41" s="56" t="e">
        <v>#REF!</v>
      </c>
    </row>
    <row r="42" spans="2:13" x14ac:dyDescent="0.15">
      <c r="M42" s="56" t="e">
        <v>#REF!</v>
      </c>
    </row>
    <row r="43" spans="2:13" x14ac:dyDescent="0.15">
      <c r="M43" s="56" t="e">
        <v>#REF!</v>
      </c>
    </row>
    <row r="44" spans="2:13" ht="21" customHeight="1" x14ac:dyDescent="0.15">
      <c r="C44" s="223" t="s">
        <v>85</v>
      </c>
      <c r="D44" s="223"/>
      <c r="E44" s="223"/>
      <c r="F44" s="223"/>
      <c r="G44" s="223"/>
      <c r="H44" s="223"/>
      <c r="I44" s="223"/>
      <c r="M44" s="56">
        <v>0</v>
      </c>
    </row>
    <row r="45" spans="2:13" ht="15.75" customHeight="1" x14ac:dyDescent="0.15">
      <c r="C45" s="223"/>
      <c r="D45" s="223"/>
      <c r="E45" s="223"/>
      <c r="F45" s="223"/>
      <c r="G45" s="223"/>
      <c r="H45" s="223"/>
      <c r="I45" s="223"/>
      <c r="M45" s="56">
        <v>0</v>
      </c>
    </row>
    <row r="46" spans="2:13" ht="14.25" customHeight="1" x14ac:dyDescent="0.15">
      <c r="C46" s="221" t="s">
        <v>113</v>
      </c>
      <c r="D46" s="221"/>
      <c r="E46" s="221"/>
      <c r="F46" s="221"/>
      <c r="G46" s="221"/>
      <c r="H46" s="221"/>
      <c r="I46" s="221"/>
      <c r="M46" s="56">
        <v>0</v>
      </c>
    </row>
    <row r="47" spans="2:13" x14ac:dyDescent="0.15">
      <c r="C47" s="219" t="s">
        <v>93</v>
      </c>
      <c r="D47" s="219"/>
      <c r="E47" s="219"/>
      <c r="F47" s="219"/>
      <c r="G47" s="219"/>
      <c r="H47" s="219"/>
      <c r="I47" s="219"/>
      <c r="M47" s="56">
        <v>0</v>
      </c>
    </row>
    <row r="48" spans="2:13" x14ac:dyDescent="0.15">
      <c r="M48" s="56">
        <v>0</v>
      </c>
    </row>
    <row r="49" spans="13:13" x14ac:dyDescent="0.15">
      <c r="M49" s="56">
        <v>0</v>
      </c>
    </row>
    <row r="50" spans="13:13" x14ac:dyDescent="0.15">
      <c r="M50" s="56">
        <v>0</v>
      </c>
    </row>
  </sheetData>
  <mergeCells count="22">
    <mergeCell ref="C7:I9"/>
    <mergeCell ref="D28:H28"/>
    <mergeCell ref="D29:H29"/>
    <mergeCell ref="D25:H25"/>
    <mergeCell ref="D22:H22"/>
    <mergeCell ref="D21:H21"/>
    <mergeCell ref="C15:C16"/>
    <mergeCell ref="D15:I16"/>
    <mergeCell ref="C47:I47"/>
    <mergeCell ref="D23:H23"/>
    <mergeCell ref="C46:I46"/>
    <mergeCell ref="D35:H35"/>
    <mergeCell ref="D36:H36"/>
    <mergeCell ref="D24:H24"/>
    <mergeCell ref="D30:H30"/>
    <mergeCell ref="D26:H26"/>
    <mergeCell ref="D31:H31"/>
    <mergeCell ref="D34:H34"/>
    <mergeCell ref="D32:H32"/>
    <mergeCell ref="C44:I45"/>
    <mergeCell ref="D33:H33"/>
    <mergeCell ref="D27:H27"/>
  </mergeCells>
  <phoneticPr fontId="2"/>
  <dataValidations count="2">
    <dataValidation type="list" allowBlank="1" showInputMessage="1" sqref="D21:H36" xr:uid="{00000000-0002-0000-1A00-000001000000}">
      <formula1>$M$25:$M$36</formula1>
    </dataValidation>
    <dataValidation type="list" allowBlank="1" showInputMessage="1" showErrorMessage="1" sqref="D15:I16" xr:uid="{D24C5F8A-4D15-463A-9A01-7734D99D4A2C}">
      <formula1>$M$38:$M$50</formula1>
    </dataValidation>
  </dataValidations>
  <pageMargins left="0.78700000000000003" right="0.78700000000000003" top="0.98399999999999999" bottom="0.98399999999999999" header="0.51200000000000001" footer="0.51200000000000001"/>
  <pageSetup paperSize="9" orientation="portrait" verticalDpi="1200" r:id="rId1"/>
  <headerFooter alignWithMargins="0"/>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G13"/>
  <sheetViews>
    <sheetView zoomScale="75" workbookViewId="0">
      <selection activeCell="A13" sqref="A13"/>
    </sheetView>
  </sheetViews>
  <sheetFormatPr defaultRowHeight="13.5" x14ac:dyDescent="0.15"/>
  <cols>
    <col min="1" max="1" width="2.375" customWidth="1"/>
    <col min="2" max="2" width="3" customWidth="1"/>
    <col min="3" max="3" width="4.125" customWidth="1"/>
    <col min="4" max="4" width="3.375" customWidth="1"/>
    <col min="5" max="5" width="3.75" customWidth="1"/>
    <col min="6" max="6" width="7.75" customWidth="1"/>
  </cols>
  <sheetData>
    <row r="1" spans="1:7" ht="24" customHeight="1" x14ac:dyDescent="0.15">
      <c r="A1" s="229" t="e">
        <f>"（"&amp;成果品目録!$D$15&amp;"）"</f>
        <v>#REF!</v>
      </c>
      <c r="B1" s="230" t="s">
        <v>55</v>
      </c>
      <c r="C1" s="15"/>
      <c r="D1" s="228" t="e">
        <f>"（"&amp;成果品目録!$D$15&amp;"）"</f>
        <v>#REF!</v>
      </c>
      <c r="E1" s="227" t="s">
        <v>54</v>
      </c>
      <c r="F1" s="87"/>
      <c r="G1" s="88"/>
    </row>
    <row r="2" spans="1:7" ht="24" customHeight="1" x14ac:dyDescent="0.15">
      <c r="A2" s="229"/>
      <c r="B2" s="230"/>
      <c r="C2" s="15"/>
      <c r="D2" s="228"/>
      <c r="E2" s="227"/>
    </row>
    <row r="3" spans="1:7" ht="24" customHeight="1" x14ac:dyDescent="0.15">
      <c r="A3" s="229"/>
      <c r="B3" s="230"/>
      <c r="C3" s="15"/>
      <c r="D3" s="228"/>
      <c r="E3" s="227"/>
    </row>
    <row r="4" spans="1:7" ht="24" customHeight="1" x14ac:dyDescent="0.15">
      <c r="A4" s="229"/>
      <c r="B4" s="230"/>
      <c r="C4" s="15"/>
      <c r="D4" s="228"/>
      <c r="E4" s="227"/>
    </row>
    <row r="5" spans="1:7" ht="24" customHeight="1" x14ac:dyDescent="0.15">
      <c r="A5" s="229"/>
      <c r="B5" s="230"/>
      <c r="C5" s="15"/>
      <c r="D5" s="228"/>
      <c r="E5" s="227"/>
    </row>
    <row r="6" spans="1:7" ht="24" customHeight="1" x14ac:dyDescent="0.15">
      <c r="A6" s="229"/>
      <c r="B6" s="230"/>
      <c r="C6" s="15"/>
      <c r="D6" s="228"/>
      <c r="E6" s="227"/>
    </row>
    <row r="7" spans="1:7" ht="24" customHeight="1" x14ac:dyDescent="0.15">
      <c r="A7" s="229"/>
      <c r="B7" s="230"/>
      <c r="C7" s="15"/>
      <c r="D7" s="228"/>
      <c r="E7" s="227"/>
    </row>
    <row r="8" spans="1:7" ht="24" customHeight="1" x14ac:dyDescent="0.15">
      <c r="A8" s="229"/>
      <c r="B8" s="230"/>
      <c r="C8" s="15"/>
      <c r="D8" s="228"/>
      <c r="E8" s="227"/>
    </row>
    <row r="9" spans="1:7" ht="24" customHeight="1" x14ac:dyDescent="0.15">
      <c r="A9" s="229"/>
      <c r="B9" s="230"/>
      <c r="C9" s="15"/>
      <c r="D9" s="228"/>
      <c r="E9" s="227"/>
    </row>
    <row r="10" spans="1:7" ht="24" customHeight="1" x14ac:dyDescent="0.15">
      <c r="A10" s="229"/>
      <c r="B10" s="230"/>
      <c r="C10" s="15"/>
      <c r="D10" s="228"/>
      <c r="E10" s="227"/>
    </row>
    <row r="11" spans="1:7" ht="24" customHeight="1" x14ac:dyDescent="0.15">
      <c r="A11" s="229"/>
      <c r="B11" s="230"/>
      <c r="C11" s="15"/>
      <c r="D11" s="228"/>
      <c r="E11" s="227"/>
    </row>
    <row r="12" spans="1:7" ht="24" customHeight="1" x14ac:dyDescent="0.15">
      <c r="A12" s="229"/>
      <c r="B12" s="230"/>
      <c r="C12" s="15"/>
      <c r="D12" s="228"/>
      <c r="E12" s="227"/>
    </row>
    <row r="13" spans="1:7" ht="24" customHeight="1" x14ac:dyDescent="0.15">
      <c r="A13" s="89"/>
      <c r="B13" s="35"/>
      <c r="C13" s="36"/>
      <c r="D13" s="36"/>
      <c r="E13" s="36"/>
      <c r="F13" s="90"/>
    </row>
  </sheetData>
  <mergeCells count="4">
    <mergeCell ref="E1:E12"/>
    <mergeCell ref="D1:D12"/>
    <mergeCell ref="A1:A12"/>
    <mergeCell ref="B1:B12"/>
  </mergeCells>
  <phoneticPr fontId="2"/>
  <pageMargins left="0.78700000000000003" right="0.78700000000000003" top="0.98399999999999999" bottom="0.98399999999999999" header="0.51200000000000001" footer="0.51200000000000001"/>
  <pageSetup paperSize="9" orientation="portrait" horizontalDpi="1200"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36</vt:i4>
      </vt:variant>
      <vt:variant>
        <vt:lpstr>名前付き一覧</vt:lpstr>
      </vt:variant>
      <vt:variant>
        <vt:i4>34</vt:i4>
      </vt:variant>
    </vt:vector>
  </HeadingPairs>
  <TitlesOfParts>
    <vt:vector size="70" baseType="lpstr">
      <vt:lpstr>入力シート</vt:lpstr>
      <vt:lpstr>経過記録表</vt:lpstr>
      <vt:lpstr>土地登記簿調書</vt:lpstr>
      <vt:lpstr>土地所有者一覧表</vt:lpstr>
      <vt:lpstr>所有者調書(大田)</vt:lpstr>
      <vt:lpstr>所有者調書(板橋)</vt:lpstr>
      <vt:lpstr>所有者調書(北)</vt:lpstr>
      <vt:lpstr>所有者調書(品川)</vt:lpstr>
      <vt:lpstr>所有者調書(新宿)</vt:lpstr>
      <vt:lpstr>所有者調書(杉並)</vt:lpstr>
      <vt:lpstr>所有者調書(世田谷)</vt:lpstr>
      <vt:lpstr>所有者調書(中野)</vt:lpstr>
      <vt:lpstr>所有者調書(文京)</vt:lpstr>
      <vt:lpstr>所有者調書(港)</vt:lpstr>
      <vt:lpstr>所有者調書(目黒)</vt:lpstr>
      <vt:lpstr>所有者調書(都・確定)</vt:lpstr>
      <vt:lpstr>所有者調書(都・区域)</vt:lpstr>
      <vt:lpstr>所有者調書(財務)1</vt:lpstr>
      <vt:lpstr>所有者調書(財務)2</vt:lpstr>
      <vt:lpstr>所有者調書(財務)3</vt:lpstr>
      <vt:lpstr>所有者調書(国道)</vt:lpstr>
      <vt:lpstr>境界確認書甲乙1</vt:lpstr>
      <vt:lpstr>境界確認書甲２乙１</vt:lpstr>
      <vt:lpstr>境界確認書甲3乙1</vt:lpstr>
      <vt:lpstr>境界確認書甲１乙２</vt:lpstr>
      <vt:lpstr>境界確認書甲乙２</vt:lpstr>
      <vt:lpstr>境界確認書甲3乙2</vt:lpstr>
      <vt:lpstr>境界確認書甲1乙3</vt:lpstr>
      <vt:lpstr>境界確認書甲2乙3</vt:lpstr>
      <vt:lpstr>境界確認書甲乙3</vt:lpstr>
      <vt:lpstr>境界確認願い</vt:lpstr>
      <vt:lpstr>境界確認願い (3)</vt:lpstr>
      <vt:lpstr>境界確認願い (2)</vt:lpstr>
      <vt:lpstr>官民名前欄</vt:lpstr>
      <vt:lpstr>成果品目録</vt:lpstr>
      <vt:lpstr>背表紙</vt:lpstr>
      <vt:lpstr>境界確認願い!Print_Area</vt:lpstr>
      <vt:lpstr>'境界確認願い (2)'!Print_Area</vt:lpstr>
      <vt:lpstr>'境界確認願い (3)'!Print_Area</vt:lpstr>
      <vt:lpstr>境界確認書甲１乙２!Print_Area</vt:lpstr>
      <vt:lpstr>境界確認書甲1乙3!Print_Area</vt:lpstr>
      <vt:lpstr>境界確認書甲２乙１!Print_Area</vt:lpstr>
      <vt:lpstr>境界確認書甲2乙3!Print_Area</vt:lpstr>
      <vt:lpstr>境界確認書甲3乙1!Print_Area</vt:lpstr>
      <vt:lpstr>境界確認書甲3乙2!Print_Area</vt:lpstr>
      <vt:lpstr>境界確認書甲乙1!Print_Area</vt:lpstr>
      <vt:lpstr>境界確認書甲乙２!Print_Area</vt:lpstr>
      <vt:lpstr>境界確認書甲乙3!Print_Area</vt:lpstr>
      <vt:lpstr>経過記録表!Print_Area</vt:lpstr>
      <vt:lpstr>'所有者調書(港)'!Print_Area</vt:lpstr>
      <vt:lpstr>'所有者調書(国道)'!Print_Area</vt:lpstr>
      <vt:lpstr>'所有者調書(財務)1'!Print_Area</vt:lpstr>
      <vt:lpstr>'所有者調書(財務)2'!Print_Area</vt:lpstr>
      <vt:lpstr>'所有者調書(財務)3'!Print_Area</vt:lpstr>
      <vt:lpstr>'所有者調書(新宿)'!Print_Area</vt:lpstr>
      <vt:lpstr>'所有者調書(杉並)'!Print_Area</vt:lpstr>
      <vt:lpstr>'所有者調書(世田谷)'!Print_Area</vt:lpstr>
      <vt:lpstr>'所有者調書(大田)'!Print_Area</vt:lpstr>
      <vt:lpstr>'所有者調書(中野)'!Print_Area</vt:lpstr>
      <vt:lpstr>'所有者調書(都・確定)'!Print_Area</vt:lpstr>
      <vt:lpstr>'所有者調書(都・区域)'!Print_Area</vt:lpstr>
      <vt:lpstr>'所有者調書(板橋)'!Print_Area</vt:lpstr>
      <vt:lpstr>'所有者調書(品川)'!Print_Area</vt:lpstr>
      <vt:lpstr>'所有者調書(文京)'!Print_Area</vt:lpstr>
      <vt:lpstr>'所有者調書(北)'!Print_Area</vt:lpstr>
      <vt:lpstr>'所有者調書(目黒)'!Print_Area</vt:lpstr>
      <vt:lpstr>成果品目録!Print_Area</vt:lpstr>
      <vt:lpstr>土地所有者一覧表!Print_Area</vt:lpstr>
      <vt:lpstr>土地登記簿調書!Print_Area</vt:lpstr>
      <vt:lpstr>入力シート!Print_Area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ｋ</dc:creator>
  <cp:lastModifiedBy>智裕 浜津</cp:lastModifiedBy>
  <cp:lastPrinted>2025-04-16T04:33:38Z</cp:lastPrinted>
  <dcterms:created xsi:type="dcterms:W3CDTF">2004-05-20T09:04:00Z</dcterms:created>
  <dcterms:modified xsi:type="dcterms:W3CDTF">2025-05-02T05:17:43Z</dcterms:modified>
</cp:coreProperties>
</file>